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ndho/Desktop/Aviation Project/"/>
    </mc:Choice>
  </mc:AlternateContent>
  <xr:revisionPtr revIDLastSave="0" documentId="13_ncr:1_{B322F265-7683-AE4F-AD0C-EA0F9C5251D8}" xr6:coauthVersionLast="47" xr6:coauthVersionMax="47" xr10:uidLastSave="{00000000-0000-0000-0000-000000000000}"/>
  <bookViews>
    <workbookView xWindow="0" yWindow="600" windowWidth="28800" windowHeight="16100" activeTab="1" xr2:uid="{B7BFF235-61DA-164F-A768-F5AA29D2A293}"/>
  </bookViews>
  <sheets>
    <sheet name="Master_data" sheetId="6" r:id="rId1"/>
    <sheet name="Recovery Index Sheet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7" l="1"/>
  <c r="J2" i="7"/>
  <c r="E3" i="7" a="1"/>
  <c r="E3" i="7" s="1"/>
  <c r="E4" i="7" a="1"/>
  <c r="E4" i="7" s="1"/>
  <c r="E5" i="7" a="1"/>
  <c r="E5" i="7" s="1"/>
  <c r="E6" i="7" a="1"/>
  <c r="E6" i="7" s="1"/>
  <c r="E7" i="7" a="1"/>
  <c r="E7" i="7" s="1"/>
  <c r="E8" i="7" a="1"/>
  <c r="E8" i="7" s="1"/>
  <c r="E9" i="7" a="1"/>
  <c r="E9" i="7" s="1"/>
  <c r="E10" i="7" a="1"/>
  <c r="E10" i="7" s="1"/>
  <c r="E11" i="7" a="1"/>
  <c r="E11" i="7" s="1"/>
  <c r="E12" i="7" a="1"/>
  <c r="E12" i="7" s="1"/>
  <c r="E13" i="7" a="1"/>
  <c r="E13" i="7" s="1"/>
  <c r="E14" i="7" a="1"/>
  <c r="E14" i="7" s="1"/>
  <c r="E15" i="7" a="1"/>
  <c r="E15" i="7" s="1"/>
  <c r="E16" i="7" a="1"/>
  <c r="E16" i="7" s="1"/>
  <c r="E17" i="7" a="1"/>
  <c r="E17" i="7" s="1"/>
  <c r="E18" i="7" a="1"/>
  <c r="E18" i="7" s="1"/>
  <c r="E19" i="7" a="1"/>
  <c r="E19" i="7" s="1"/>
  <c r="E20" i="7" a="1"/>
  <c r="E20" i="7" s="1"/>
  <c r="E21" i="7" a="1"/>
  <c r="E21" i="7" s="1"/>
  <c r="E22" i="7" a="1"/>
  <c r="E22" i="7" s="1"/>
  <c r="E23" i="7" a="1"/>
  <c r="E23" i="7" s="1"/>
  <c r="E24" i="7" a="1"/>
  <c r="E24" i="7" s="1"/>
  <c r="E25" i="7" a="1"/>
  <c r="E25" i="7" s="1"/>
  <c r="E26" i="7" a="1"/>
  <c r="E26" i="7" s="1"/>
  <c r="E27" i="7" a="1"/>
  <c r="E27" i="7" s="1"/>
  <c r="E28" i="7" a="1"/>
  <c r="E28" i="7" s="1"/>
  <c r="E29" i="7" a="1"/>
  <c r="E29" i="7" s="1"/>
  <c r="E30" i="7" a="1"/>
  <c r="E30" i="7" s="1"/>
  <c r="E31" i="7" a="1"/>
  <c r="E31" i="7" s="1"/>
  <c r="E32" i="7" a="1"/>
  <c r="E32" i="7" s="1"/>
  <c r="E33" i="7" a="1"/>
  <c r="E33" i="7" s="1"/>
  <c r="E34" i="7" a="1"/>
  <c r="E34" i="7" s="1"/>
  <c r="E35" i="7" a="1"/>
  <c r="E35" i="7" s="1"/>
  <c r="E36" i="7" a="1"/>
  <c r="E36" i="7" s="1"/>
  <c r="E37" i="7" a="1"/>
  <c r="E37" i="7" s="1"/>
  <c r="E38" i="7" a="1"/>
  <c r="E38" i="7" s="1"/>
  <c r="E39" i="7" a="1"/>
  <c r="E39" i="7" s="1"/>
  <c r="E40" i="7" a="1"/>
  <c r="E40" i="7" s="1"/>
  <c r="E41" i="7" a="1"/>
  <c r="E41" i="7" s="1"/>
  <c r="E42" i="7" a="1"/>
  <c r="E42" i="7" s="1"/>
  <c r="E43" i="7" a="1"/>
  <c r="E43" i="7" s="1"/>
  <c r="E2" i="7" a="1"/>
  <c r="E2" i="7" s="1"/>
  <c r="D3" i="7" a="1"/>
  <c r="D3" i="7" s="1"/>
  <c r="D4" i="7" a="1"/>
  <c r="D4" i="7" s="1"/>
  <c r="D5" i="7" a="1"/>
  <c r="D5" i="7" s="1"/>
  <c r="D6" i="7" a="1"/>
  <c r="D6" i="7" s="1"/>
  <c r="D7" i="7" a="1"/>
  <c r="D7" i="7" s="1"/>
  <c r="D8" i="7" a="1"/>
  <c r="D8" i="7" s="1"/>
  <c r="D9" i="7" a="1"/>
  <c r="D9" i="7" s="1"/>
  <c r="D10" i="7" a="1"/>
  <c r="D10" i="7" s="1"/>
  <c r="D11" i="7" a="1"/>
  <c r="D11" i="7" s="1"/>
  <c r="D12" i="7" a="1"/>
  <c r="D12" i="7" s="1"/>
  <c r="D13" i="7" a="1"/>
  <c r="D13" i="7" s="1"/>
  <c r="D14" i="7" a="1"/>
  <c r="D14" i="7" s="1"/>
  <c r="D15" i="7" a="1"/>
  <c r="D15" i="7" s="1"/>
  <c r="D16" i="7" a="1"/>
  <c r="D16" i="7" s="1"/>
  <c r="D17" i="7" a="1"/>
  <c r="D17" i="7" s="1"/>
  <c r="D18" i="7" a="1"/>
  <c r="D18" i="7" s="1"/>
  <c r="D19" i="7" a="1"/>
  <c r="D19" i="7" s="1"/>
  <c r="D20" i="7" a="1"/>
  <c r="D20" i="7" s="1"/>
  <c r="D21" i="7" a="1"/>
  <c r="D21" i="7" s="1"/>
  <c r="D22" i="7" a="1"/>
  <c r="D22" i="7" s="1"/>
  <c r="D23" i="7" a="1"/>
  <c r="D23" i="7" s="1"/>
  <c r="D24" i="7" a="1"/>
  <c r="D24" i="7" s="1"/>
  <c r="D25" i="7" a="1"/>
  <c r="D25" i="7" s="1"/>
  <c r="D26" i="7" a="1"/>
  <c r="D26" i="7" s="1"/>
  <c r="D27" i="7" a="1"/>
  <c r="D27" i="7" s="1"/>
  <c r="D28" i="7" a="1"/>
  <c r="D28" i="7" s="1"/>
  <c r="D29" i="7" a="1"/>
  <c r="D29" i="7" s="1"/>
  <c r="D30" i="7" a="1"/>
  <c r="D30" i="7" s="1"/>
  <c r="D31" i="7" a="1"/>
  <c r="D31" i="7" s="1"/>
  <c r="D32" i="7" a="1"/>
  <c r="D32" i="7" s="1"/>
  <c r="D33" i="7" a="1"/>
  <c r="D33" i="7" s="1"/>
  <c r="D34" i="7" a="1"/>
  <c r="D34" i="7" s="1"/>
  <c r="D35" i="7" a="1"/>
  <c r="D35" i="7" s="1"/>
  <c r="D36" i="7" a="1"/>
  <c r="D36" i="7" s="1"/>
  <c r="D37" i="7" a="1"/>
  <c r="D37" i="7" s="1"/>
  <c r="D38" i="7" a="1"/>
  <c r="D38" i="7" s="1"/>
  <c r="D39" i="7" a="1"/>
  <c r="D39" i="7" s="1"/>
  <c r="D40" i="7" a="1"/>
  <c r="D40" i="7" s="1"/>
  <c r="D41" i="7" a="1"/>
  <c r="D41" i="7" s="1"/>
  <c r="D42" i="7" a="1"/>
  <c r="D42" i="7" s="1"/>
  <c r="D43" i="7" a="1"/>
  <c r="D43" i="7" s="1"/>
  <c r="D2" i="7" a="1"/>
  <c r="D2" i="7" s="1"/>
  <c r="C3" i="7" a="1"/>
  <c r="C3" i="7" s="1"/>
  <c r="C4" i="7" a="1"/>
  <c r="C4" i="7" s="1"/>
  <c r="C5" i="7" a="1"/>
  <c r="C5" i="7" s="1"/>
  <c r="C6" i="7" a="1"/>
  <c r="C6" i="7" s="1"/>
  <c r="C7" i="7" a="1"/>
  <c r="C7" i="7" s="1"/>
  <c r="C8" i="7" a="1"/>
  <c r="C8" i="7" s="1"/>
  <c r="C9" i="7" a="1"/>
  <c r="C9" i="7" s="1"/>
  <c r="C10" i="7" a="1"/>
  <c r="C10" i="7" s="1"/>
  <c r="C11" i="7" a="1"/>
  <c r="C11" i="7" s="1"/>
  <c r="C12" i="7" a="1"/>
  <c r="C12" i="7" s="1"/>
  <c r="C13" i="7" a="1"/>
  <c r="C13" i="7" s="1"/>
  <c r="C14" i="7" a="1"/>
  <c r="C14" i="7" s="1"/>
  <c r="C15" i="7" a="1"/>
  <c r="C15" i="7" s="1"/>
  <c r="C16" i="7" a="1"/>
  <c r="C16" i="7" s="1"/>
  <c r="C17" i="7" a="1"/>
  <c r="C17" i="7" s="1"/>
  <c r="C18" i="7" a="1"/>
  <c r="C18" i="7" s="1"/>
  <c r="C19" i="7" a="1"/>
  <c r="C19" i="7" s="1"/>
  <c r="C20" i="7" a="1"/>
  <c r="C20" i="7" s="1"/>
  <c r="C21" i="7" a="1"/>
  <c r="C21" i="7" s="1"/>
  <c r="C22" i="7" a="1"/>
  <c r="C22" i="7" s="1"/>
  <c r="C23" i="7" a="1"/>
  <c r="C23" i="7" s="1"/>
  <c r="C24" i="7" a="1"/>
  <c r="C24" i="7" s="1"/>
  <c r="C25" i="7" a="1"/>
  <c r="C25" i="7" s="1"/>
  <c r="C26" i="7" a="1"/>
  <c r="C26" i="7" s="1"/>
  <c r="C27" i="7" a="1"/>
  <c r="C27" i="7" s="1"/>
  <c r="C28" i="7" a="1"/>
  <c r="C28" i="7" s="1"/>
  <c r="C29" i="7" a="1"/>
  <c r="C29" i="7" s="1"/>
  <c r="F29" i="7" s="1"/>
  <c r="C30" i="7" a="1"/>
  <c r="C30" i="7" s="1"/>
  <c r="C31" i="7" a="1"/>
  <c r="C31" i="7" s="1"/>
  <c r="F31" i="7" s="1"/>
  <c r="C32" i="7" a="1"/>
  <c r="C32" i="7" s="1"/>
  <c r="F32" i="7" s="1"/>
  <c r="C33" i="7" a="1"/>
  <c r="C33" i="7" s="1"/>
  <c r="F33" i="7" s="1"/>
  <c r="C34" i="7" a="1"/>
  <c r="C34" i="7" s="1"/>
  <c r="F34" i="7" s="1"/>
  <c r="C35" i="7" a="1"/>
  <c r="C35" i="7" s="1"/>
  <c r="F35" i="7" s="1"/>
  <c r="C36" i="7" a="1"/>
  <c r="C36" i="7" s="1"/>
  <c r="F36" i="7" s="1"/>
  <c r="C37" i="7" a="1"/>
  <c r="C37" i="7" s="1"/>
  <c r="C38" i="7" a="1"/>
  <c r="C38" i="7" s="1"/>
  <c r="F38" i="7" s="1"/>
  <c r="C39" i="7" a="1"/>
  <c r="C39" i="7" s="1"/>
  <c r="F39" i="7" s="1"/>
  <c r="C40" i="7" a="1"/>
  <c r="C40" i="7" s="1"/>
  <c r="F40" i="7" s="1"/>
  <c r="C41" i="7" a="1"/>
  <c r="C41" i="7" s="1"/>
  <c r="C42" i="7" a="1"/>
  <c r="C42" i="7" s="1"/>
  <c r="F42" i="7" s="1"/>
  <c r="C43" i="7" a="1"/>
  <c r="C43" i="7" s="1"/>
  <c r="F43" i="7" s="1"/>
  <c r="C2" i="7" a="1"/>
  <c r="C2" i="7" s="1"/>
  <c r="F2" i="7" s="1"/>
  <c r="F23" i="7" l="1"/>
  <c r="F7" i="7"/>
  <c r="F30" i="7"/>
  <c r="F22" i="7"/>
  <c r="F14" i="7"/>
  <c r="F6" i="7"/>
  <c r="F21" i="7"/>
  <c r="F5" i="7"/>
  <c r="F13" i="7"/>
  <c r="F28" i="7"/>
  <c r="F20" i="7"/>
  <c r="F12" i="7"/>
  <c r="F4" i="7"/>
  <c r="F19" i="7"/>
  <c r="F3" i="7"/>
  <c r="F37" i="7"/>
  <c r="F27" i="7"/>
  <c r="F11" i="7"/>
  <c r="F26" i="7"/>
  <c r="F18" i="7"/>
  <c r="F10" i="7"/>
  <c r="F17" i="7"/>
  <c r="F25" i="7"/>
  <c r="F9" i="7"/>
  <c r="F24" i="7"/>
  <c r="F16" i="7"/>
  <c r="F8" i="7"/>
  <c r="F15" i="7"/>
  <c r="F41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<sst xmlns="http://schemas.openxmlformats.org/spreadsheetml/2006/main" count="272" uniqueCount="74">
  <si>
    <t>Airline</t>
  </si>
  <si>
    <t>Source</t>
  </si>
  <si>
    <t>Year</t>
  </si>
  <si>
    <t>Passengers_Million</t>
  </si>
  <si>
    <t>Destinations_Count</t>
  </si>
  <si>
    <t>Network_Notes</t>
  </si>
  <si>
    <t>Region</t>
  </si>
  <si>
    <t>Load_Factor_Percent</t>
  </si>
  <si>
    <t>Fleet_Size</t>
  </si>
  <si>
    <t>Indigo</t>
  </si>
  <si>
    <t>indigo</t>
  </si>
  <si>
    <t>Pre-COVID domestic-focused network with limited international exposure</t>
  </si>
  <si>
    <t>Expanded domestic and international network before COVID disruption</t>
  </si>
  <si>
    <t>Network contraction due to COVID restrictions</t>
  </si>
  <si>
    <t>Gradual restoration of domestic and international routes</t>
  </si>
  <si>
    <t>Post-COVID domestic and international network expansion</t>
  </si>
  <si>
    <t>Strong post-COVID domestic and international expansion</t>
  </si>
  <si>
    <t>Continued network expansion with new domestic and international routes</t>
  </si>
  <si>
    <t>Air India</t>
  </si>
  <si>
    <t xml:space="preserve">IndiGo Annual Report </t>
  </si>
  <si>
    <t xml:space="preserve">Air India Annual Report </t>
  </si>
  <si>
    <t>Pre-pandemic peak under Govt ownership.</t>
  </si>
  <si>
    <t>Added Doha and Dubai (from more cities).</t>
  </si>
  <si>
    <t>Scaled back due to COVID; focus on "Vande Bharat" flights.</t>
  </si>
  <si>
    <t>Gradual resumption; focus on UK/US "Air Bubbles."</t>
  </si>
  <si>
    <t>Privatization year; resumed Milan, Vienna, Copenhagen.</t>
  </si>
  <si>
    <t>Added Phuket, Ho Chi Minh City, and Amsterdam</t>
  </si>
  <si>
    <t>Post-Merger Realignment: Focused on high-yield hubs</t>
  </si>
  <si>
    <t>Aggressive growth phase.</t>
  </si>
  <si>
    <t>Peak: Absorbed Jet Airways slots/routes.</t>
  </si>
  <si>
    <t>Pandemic contraction; focus on cargo.</t>
  </si>
  <si>
    <t>737 MAX groundings forced route cuts.</t>
  </si>
  <si>
    <t>Financial stress led to Tier-2 exit.</t>
  </si>
  <si>
    <t>Operational nadir; focused on key metros.</t>
  </si>
  <si>
    <t>Recovery: Re-adding hubs like Phuket &amp; Dubai.</t>
  </si>
  <si>
    <t>Spicejet</t>
  </si>
  <si>
    <t>SpiceJet Annual Report</t>
  </si>
  <si>
    <t>Revenue_(USD)_billion</t>
  </si>
  <si>
    <t>India</t>
  </si>
  <si>
    <t>Emirates</t>
  </si>
  <si>
    <t>Emirates Annual Report</t>
  </si>
  <si>
    <t>Qatar Airways</t>
  </si>
  <si>
    <t>Stability pre-lockdown</t>
  </si>
  <si>
    <t>Geopolitical resiliance</t>
  </si>
  <si>
    <t>Network rebuilding</t>
  </si>
  <si>
    <t>FIFA world cup peak</t>
  </si>
  <si>
    <t>Record Expansion</t>
  </si>
  <si>
    <t>Modernization Phase</t>
  </si>
  <si>
    <t>Baseline year</t>
  </si>
  <si>
    <t>Fleet optimization</t>
  </si>
  <si>
    <t>Last A380 delivered</t>
  </si>
  <si>
    <t>Rebuilding network</t>
  </si>
  <si>
    <t>Record profitability year</t>
  </si>
  <si>
    <t>New A380 entry</t>
  </si>
  <si>
    <t>Etihad Airways</t>
  </si>
  <si>
    <t>Baseline Year</t>
  </si>
  <si>
    <t>Efficiency focus</t>
  </si>
  <si>
    <t>The bottom'</t>
  </si>
  <si>
    <t>Growth starts A380 returns</t>
  </si>
  <si>
    <t>Rapid expansion</t>
  </si>
  <si>
    <t>New growth peak</t>
  </si>
  <si>
    <t>Gulf</t>
  </si>
  <si>
    <t>Qatar Airways Annual Report</t>
  </si>
  <si>
    <t>Etihad Airways Annual Report</t>
  </si>
  <si>
    <t>Data_basis</t>
  </si>
  <si>
    <t>FY (Apr - Mar)</t>
  </si>
  <si>
    <t>CY(Jan - Dec)</t>
  </si>
  <si>
    <t>Revenue_recovery_index</t>
  </si>
  <si>
    <t>Passenger_recovery_index</t>
  </si>
  <si>
    <t>Fleet_index_recovery</t>
  </si>
  <si>
    <t>Composite_recovery_index</t>
  </si>
  <si>
    <t>india</t>
  </si>
  <si>
    <t>gulf</t>
  </si>
  <si>
    <t>averages of composte recovery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</si>
</sst>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0" fontId="1" fillId="0" borderId="0" xfId="0" applyNumberFormat="1" applyFon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FB449-4E8B-BB4F-A9D3-9CFA83D938A4}">
  <dimension ref="A1:K43"/>
  <sheetViews>
    <sheetView workbookViewId="0">
      <selection activeCell="O17" sqref="O17"/>
    </sheetView>
  </sheetViews>
  <sheetFormatPr baseColWidth="10" defaultRowHeight="16" x14ac:dyDescent="0.2"/>
  <cols>
    <col min="1" max="1" width="19.33203125" customWidth="1"/>
    <col min="3" max="3" width="14.1640625" customWidth="1"/>
    <col min="5" max="5" width="22.5" customWidth="1"/>
    <col min="6" max="6" width="19.1640625" customWidth="1"/>
    <col min="7" max="7" width="24.33203125" customWidth="1"/>
    <col min="8" max="8" width="18.5" customWidth="1"/>
    <col min="9" max="9" width="25.6640625" customWidth="1"/>
    <col min="10" max="10" width="62" customWidth="1"/>
    <col min="11" max="11" width="18" customWidth="1"/>
  </cols>
  <sheetData>
    <row r="1" spans="1:11" x14ac:dyDescent="0.2">
      <c r="A1" t="s">
        <v>0</v>
      </c>
      <c r="B1" t="s">
        <v>6</v>
      </c>
      <c r="C1" t="s">
        <v>64</v>
      </c>
      <c r="D1" t="s">
        <v>2</v>
      </c>
      <c r="E1" t="s">
        <v>37</v>
      </c>
      <c r="F1" t="s">
        <v>3</v>
      </c>
      <c r="G1" t="s">
        <v>7</v>
      </c>
      <c r="H1" t="s">
        <v>8</v>
      </c>
      <c r="I1" t="s">
        <v>4</v>
      </c>
      <c r="J1" t="s">
        <v>5</v>
      </c>
      <c r="K1" t="s">
        <v>1</v>
      </c>
    </row>
    <row r="2" spans="1:11" x14ac:dyDescent="0.2">
      <c r="A2" t="s">
        <v>9</v>
      </c>
      <c r="B2" t="s">
        <v>38</v>
      </c>
      <c r="C2" t="s">
        <v>65</v>
      </c>
      <c r="D2">
        <v>2019</v>
      </c>
      <c r="E2" s="3">
        <v>3.8</v>
      </c>
      <c r="F2" s="3">
        <v>64.7</v>
      </c>
      <c r="G2" s="1">
        <v>0.86199999999999999</v>
      </c>
      <c r="H2">
        <v>217</v>
      </c>
      <c r="I2">
        <v>68</v>
      </c>
      <c r="J2" t="s">
        <v>11</v>
      </c>
      <c r="K2" t="s">
        <v>19</v>
      </c>
    </row>
    <row r="3" spans="1:11" x14ac:dyDescent="0.2">
      <c r="A3" t="s">
        <v>10</v>
      </c>
      <c r="B3" t="s">
        <v>38</v>
      </c>
      <c r="C3" t="s">
        <v>65</v>
      </c>
      <c r="D3">
        <v>2020</v>
      </c>
      <c r="E3" s="3">
        <v>4.7699999999999996</v>
      </c>
      <c r="F3" s="3">
        <v>75</v>
      </c>
      <c r="G3" s="1">
        <v>0.85799999999999998</v>
      </c>
      <c r="H3">
        <v>262</v>
      </c>
      <c r="I3">
        <v>86</v>
      </c>
      <c r="J3" t="s">
        <v>12</v>
      </c>
      <c r="K3" t="s">
        <v>19</v>
      </c>
    </row>
    <row r="4" spans="1:11" x14ac:dyDescent="0.2">
      <c r="A4" t="s">
        <v>9</v>
      </c>
      <c r="B4" t="s">
        <v>38</v>
      </c>
      <c r="C4" t="s">
        <v>65</v>
      </c>
      <c r="D4">
        <v>2021</v>
      </c>
      <c r="E4" s="3">
        <v>1.95</v>
      </c>
      <c r="F4" s="3">
        <v>30.7</v>
      </c>
      <c r="G4" s="2">
        <v>0.69399999999999995</v>
      </c>
      <c r="H4">
        <v>285</v>
      </c>
      <c r="I4">
        <v>65</v>
      </c>
      <c r="J4" t="s">
        <v>13</v>
      </c>
      <c r="K4" t="s">
        <v>19</v>
      </c>
    </row>
    <row r="5" spans="1:11" x14ac:dyDescent="0.2">
      <c r="A5" t="s">
        <v>9</v>
      </c>
      <c r="B5" t="s">
        <v>38</v>
      </c>
      <c r="C5" t="s">
        <v>65</v>
      </c>
      <c r="D5">
        <v>2022</v>
      </c>
      <c r="E5" s="3">
        <v>3.4</v>
      </c>
      <c r="F5" s="3">
        <v>49.8</v>
      </c>
      <c r="G5" s="2">
        <v>0.73599999999999999</v>
      </c>
      <c r="H5">
        <v>275</v>
      </c>
      <c r="I5">
        <v>88</v>
      </c>
      <c r="J5" t="s">
        <v>14</v>
      </c>
      <c r="K5" t="s">
        <v>19</v>
      </c>
    </row>
    <row r="6" spans="1:11" x14ac:dyDescent="0.2">
      <c r="A6" t="s">
        <v>9</v>
      </c>
      <c r="B6" t="s">
        <v>38</v>
      </c>
      <c r="C6" t="s">
        <v>65</v>
      </c>
      <c r="D6">
        <v>2023</v>
      </c>
      <c r="E6" s="3">
        <v>7.26</v>
      </c>
      <c r="F6" s="3">
        <v>85.6</v>
      </c>
      <c r="G6" s="2">
        <v>0.82099999999999995</v>
      </c>
      <c r="H6">
        <v>304</v>
      </c>
      <c r="I6">
        <v>100</v>
      </c>
      <c r="J6" t="s">
        <v>15</v>
      </c>
      <c r="K6" t="s">
        <v>19</v>
      </c>
    </row>
    <row r="7" spans="1:11" x14ac:dyDescent="0.2">
      <c r="A7" t="s">
        <v>9</v>
      </c>
      <c r="B7" t="s">
        <v>38</v>
      </c>
      <c r="C7" t="s">
        <v>65</v>
      </c>
      <c r="D7">
        <v>2024</v>
      </c>
      <c r="E7" s="3">
        <v>9.19</v>
      </c>
      <c r="F7" s="3">
        <v>106.7</v>
      </c>
      <c r="G7" s="2">
        <v>0.85899999999999999</v>
      </c>
      <c r="H7">
        <v>367</v>
      </c>
      <c r="I7">
        <v>118</v>
      </c>
      <c r="J7" t="s">
        <v>16</v>
      </c>
      <c r="K7" t="s">
        <v>19</v>
      </c>
    </row>
    <row r="8" spans="1:11" x14ac:dyDescent="0.2">
      <c r="A8" t="s">
        <v>9</v>
      </c>
      <c r="B8" t="s">
        <v>38</v>
      </c>
      <c r="C8" t="s">
        <v>65</v>
      </c>
      <c r="D8">
        <v>2025</v>
      </c>
      <c r="E8" s="3">
        <v>10.77</v>
      </c>
      <c r="F8" s="3">
        <v>118.6</v>
      </c>
      <c r="G8" s="2">
        <v>0.86</v>
      </c>
      <c r="H8">
        <v>434</v>
      </c>
      <c r="I8">
        <v>128</v>
      </c>
      <c r="J8" t="s">
        <v>17</v>
      </c>
      <c r="K8" t="s">
        <v>19</v>
      </c>
    </row>
    <row r="9" spans="1:11" x14ac:dyDescent="0.2">
      <c r="A9" t="s">
        <v>18</v>
      </c>
      <c r="B9" t="s">
        <v>38</v>
      </c>
      <c r="C9" t="s">
        <v>65</v>
      </c>
      <c r="D9">
        <v>2019</v>
      </c>
      <c r="E9" s="3">
        <v>3.53</v>
      </c>
      <c r="F9" s="3">
        <v>22.1</v>
      </c>
      <c r="G9" s="2">
        <v>0.79</v>
      </c>
      <c r="H9">
        <v>125</v>
      </c>
      <c r="I9">
        <v>107</v>
      </c>
      <c r="J9" s="4" t="s">
        <v>21</v>
      </c>
      <c r="K9" t="s">
        <v>20</v>
      </c>
    </row>
    <row r="10" spans="1:11" x14ac:dyDescent="0.2">
      <c r="A10" t="s">
        <v>18</v>
      </c>
      <c r="B10" t="s">
        <v>38</v>
      </c>
      <c r="C10" t="s">
        <v>65</v>
      </c>
      <c r="D10">
        <v>2020</v>
      </c>
      <c r="E10" s="3">
        <v>3.8</v>
      </c>
      <c r="F10" s="3">
        <v>22.5</v>
      </c>
      <c r="G10" s="2">
        <v>0.79799999999999993</v>
      </c>
      <c r="H10">
        <v>121</v>
      </c>
      <c r="I10">
        <v>108</v>
      </c>
      <c r="J10" t="s">
        <v>22</v>
      </c>
      <c r="K10" t="s">
        <v>20</v>
      </c>
    </row>
    <row r="11" spans="1:11" x14ac:dyDescent="0.2">
      <c r="A11" t="s">
        <v>18</v>
      </c>
      <c r="B11" t="s">
        <v>38</v>
      </c>
      <c r="C11" t="s">
        <v>65</v>
      </c>
      <c r="D11">
        <v>2021</v>
      </c>
      <c r="E11" s="3">
        <v>1.61</v>
      </c>
      <c r="F11" s="3">
        <v>6.3</v>
      </c>
      <c r="G11" s="2">
        <v>0.68400000000000005</v>
      </c>
      <c r="H11">
        <v>121</v>
      </c>
      <c r="I11">
        <v>78</v>
      </c>
      <c r="J11" t="s">
        <v>23</v>
      </c>
      <c r="K11" t="s">
        <v>20</v>
      </c>
    </row>
    <row r="12" spans="1:11" x14ac:dyDescent="0.2">
      <c r="A12" t="s">
        <v>18</v>
      </c>
      <c r="B12" t="s">
        <v>38</v>
      </c>
      <c r="C12" t="s">
        <v>65</v>
      </c>
      <c r="D12">
        <v>2022</v>
      </c>
      <c r="E12" s="3">
        <v>2.64</v>
      </c>
      <c r="F12" s="3">
        <v>11.5</v>
      </c>
      <c r="G12" s="2">
        <v>0.73499999999999999</v>
      </c>
      <c r="H12">
        <v>113</v>
      </c>
      <c r="I12">
        <v>86</v>
      </c>
      <c r="J12" t="s">
        <v>24</v>
      </c>
      <c r="K12" t="s">
        <v>20</v>
      </c>
    </row>
    <row r="13" spans="1:11" x14ac:dyDescent="0.2">
      <c r="A13" t="s">
        <v>18</v>
      </c>
      <c r="B13" t="s">
        <v>38</v>
      </c>
      <c r="C13" t="s">
        <v>65</v>
      </c>
      <c r="D13">
        <v>2023</v>
      </c>
      <c r="E13" s="3">
        <v>4.18</v>
      </c>
      <c r="F13" s="3">
        <v>18.5</v>
      </c>
      <c r="G13" s="2">
        <v>0.81900000000000006</v>
      </c>
      <c r="H13">
        <v>122</v>
      </c>
      <c r="I13">
        <v>90</v>
      </c>
      <c r="J13" t="s">
        <v>25</v>
      </c>
      <c r="K13" t="s">
        <v>20</v>
      </c>
    </row>
    <row r="14" spans="1:11" x14ac:dyDescent="0.2">
      <c r="A14" t="s">
        <v>18</v>
      </c>
      <c r="B14" t="s">
        <v>38</v>
      </c>
      <c r="C14" t="s">
        <v>65</v>
      </c>
      <c r="D14">
        <v>2024</v>
      </c>
      <c r="E14" s="3">
        <v>8.8699999999999992</v>
      </c>
      <c r="F14" s="3">
        <v>24.5</v>
      </c>
      <c r="G14" s="2">
        <v>0.85</v>
      </c>
      <c r="H14">
        <v>145</v>
      </c>
      <c r="I14">
        <v>93</v>
      </c>
      <c r="J14" t="s">
        <v>26</v>
      </c>
      <c r="K14" t="s">
        <v>20</v>
      </c>
    </row>
    <row r="15" spans="1:11" x14ac:dyDescent="0.2">
      <c r="A15" t="s">
        <v>18</v>
      </c>
      <c r="B15" t="s">
        <v>38</v>
      </c>
      <c r="C15" t="s">
        <v>65</v>
      </c>
      <c r="D15">
        <v>2025</v>
      </c>
      <c r="E15" s="3">
        <v>10.48</v>
      </c>
      <c r="F15" s="3">
        <v>28</v>
      </c>
      <c r="G15" s="2">
        <v>0.86499999999999999</v>
      </c>
      <c r="H15">
        <v>208</v>
      </c>
      <c r="I15">
        <v>87</v>
      </c>
      <c r="J15" t="s">
        <v>27</v>
      </c>
      <c r="K15" t="s">
        <v>20</v>
      </c>
    </row>
    <row r="16" spans="1:11" x14ac:dyDescent="0.2">
      <c r="A16" t="s">
        <v>35</v>
      </c>
      <c r="B16" t="s">
        <v>38</v>
      </c>
      <c r="C16" t="s">
        <v>65</v>
      </c>
      <c r="D16">
        <v>2019</v>
      </c>
      <c r="E16" s="3">
        <v>1.22</v>
      </c>
      <c r="F16" s="3">
        <v>19.899999999999999</v>
      </c>
      <c r="G16" s="2">
        <v>0.92599999999999993</v>
      </c>
      <c r="H16">
        <v>76</v>
      </c>
      <c r="I16">
        <v>71</v>
      </c>
      <c r="J16" t="s">
        <v>28</v>
      </c>
      <c r="K16" t="s">
        <v>36</v>
      </c>
    </row>
    <row r="17" spans="1:11" x14ac:dyDescent="0.2">
      <c r="A17" t="s">
        <v>35</v>
      </c>
      <c r="B17" t="s">
        <v>38</v>
      </c>
      <c r="C17" t="s">
        <v>65</v>
      </c>
      <c r="D17">
        <v>2020</v>
      </c>
      <c r="E17" s="3">
        <v>1.65</v>
      </c>
      <c r="F17" s="3">
        <v>24.7</v>
      </c>
      <c r="G17" s="2">
        <v>0.92</v>
      </c>
      <c r="H17">
        <v>114</v>
      </c>
      <c r="I17">
        <v>114</v>
      </c>
      <c r="J17" t="s">
        <v>29</v>
      </c>
      <c r="K17" t="s">
        <v>36</v>
      </c>
    </row>
    <row r="18" spans="1:11" x14ac:dyDescent="0.2">
      <c r="A18" t="s">
        <v>35</v>
      </c>
      <c r="B18" t="s">
        <v>38</v>
      </c>
      <c r="C18" t="s">
        <v>65</v>
      </c>
      <c r="D18">
        <v>2021</v>
      </c>
      <c r="E18" s="3">
        <v>0.69</v>
      </c>
      <c r="F18" s="3">
        <v>7.7</v>
      </c>
      <c r="G18" s="2">
        <v>0.77</v>
      </c>
      <c r="H18">
        <v>94</v>
      </c>
      <c r="I18">
        <v>63</v>
      </c>
      <c r="J18" t="s">
        <v>30</v>
      </c>
      <c r="K18" t="s">
        <v>36</v>
      </c>
    </row>
    <row r="19" spans="1:11" x14ac:dyDescent="0.2">
      <c r="A19" t="s">
        <v>35</v>
      </c>
      <c r="B19" t="s">
        <v>38</v>
      </c>
      <c r="C19" t="s">
        <v>65</v>
      </c>
      <c r="D19">
        <v>2022</v>
      </c>
      <c r="E19" s="3">
        <v>0.87</v>
      </c>
      <c r="F19" s="3">
        <v>9.1</v>
      </c>
      <c r="G19" s="2">
        <v>0.80400000000000005</v>
      </c>
      <c r="H19">
        <v>63</v>
      </c>
      <c r="I19">
        <v>53</v>
      </c>
      <c r="J19" t="s">
        <v>31</v>
      </c>
      <c r="K19" t="s">
        <v>36</v>
      </c>
    </row>
    <row r="20" spans="1:11" x14ac:dyDescent="0.2">
      <c r="A20" t="s">
        <v>35</v>
      </c>
      <c r="B20" t="s">
        <v>38</v>
      </c>
      <c r="C20" t="s">
        <v>65</v>
      </c>
      <c r="D20">
        <v>2023</v>
      </c>
      <c r="E20" s="3">
        <v>1.18</v>
      </c>
      <c r="F20" s="3">
        <v>12.7</v>
      </c>
      <c r="G20" s="2">
        <v>0.872</v>
      </c>
      <c r="H20">
        <v>39</v>
      </c>
      <c r="I20">
        <v>48</v>
      </c>
      <c r="J20" t="s">
        <v>32</v>
      </c>
      <c r="K20" t="s">
        <v>36</v>
      </c>
    </row>
    <row r="21" spans="1:11" x14ac:dyDescent="0.2">
      <c r="A21" t="s">
        <v>35</v>
      </c>
      <c r="B21" t="s">
        <v>38</v>
      </c>
      <c r="C21" t="s">
        <v>65</v>
      </c>
      <c r="D21">
        <v>2024</v>
      </c>
      <c r="E21" s="3">
        <v>0.94</v>
      </c>
      <c r="F21" s="3">
        <v>10.5</v>
      </c>
      <c r="G21" s="2">
        <v>0.88800000000000001</v>
      </c>
      <c r="H21">
        <v>25</v>
      </c>
      <c r="I21">
        <v>34</v>
      </c>
      <c r="J21" t="s">
        <v>33</v>
      </c>
      <c r="K21" t="s">
        <v>36</v>
      </c>
    </row>
    <row r="22" spans="1:11" x14ac:dyDescent="0.2">
      <c r="A22" t="s">
        <v>35</v>
      </c>
      <c r="B22" t="s">
        <v>38</v>
      </c>
      <c r="C22" t="s">
        <v>65</v>
      </c>
      <c r="D22">
        <v>2025</v>
      </c>
      <c r="E22" s="3">
        <v>0.7</v>
      </c>
      <c r="F22" s="3">
        <v>8.5</v>
      </c>
      <c r="G22" s="2">
        <v>0.877</v>
      </c>
      <c r="H22">
        <v>35</v>
      </c>
      <c r="I22">
        <v>48</v>
      </c>
      <c r="J22" t="s">
        <v>34</v>
      </c>
      <c r="K22" t="s">
        <v>36</v>
      </c>
    </row>
    <row r="23" spans="1:11" x14ac:dyDescent="0.2">
      <c r="A23" t="s">
        <v>39</v>
      </c>
      <c r="B23" t="s">
        <v>61</v>
      </c>
      <c r="C23" t="s">
        <v>65</v>
      </c>
      <c r="D23">
        <v>2019</v>
      </c>
      <c r="E23" s="3">
        <v>26.7</v>
      </c>
      <c r="F23" s="3">
        <v>58.6</v>
      </c>
      <c r="G23" s="2">
        <v>0.76800000000000002</v>
      </c>
      <c r="H23">
        <v>270</v>
      </c>
      <c r="I23">
        <v>158</v>
      </c>
      <c r="J23" t="s">
        <v>48</v>
      </c>
      <c r="K23" t="s">
        <v>40</v>
      </c>
    </row>
    <row r="24" spans="1:11" x14ac:dyDescent="0.2">
      <c r="A24" t="s">
        <v>39</v>
      </c>
      <c r="B24" t="s">
        <v>61</v>
      </c>
      <c r="C24" t="s">
        <v>65</v>
      </c>
      <c r="D24">
        <v>2020</v>
      </c>
      <c r="E24" s="3">
        <v>24.8</v>
      </c>
      <c r="F24" s="3">
        <v>56.2</v>
      </c>
      <c r="G24" s="1">
        <v>0.78500000000000003</v>
      </c>
      <c r="H24">
        <v>270</v>
      </c>
      <c r="I24">
        <v>157</v>
      </c>
      <c r="J24" t="s">
        <v>42</v>
      </c>
      <c r="K24" t="s">
        <v>40</v>
      </c>
    </row>
    <row r="25" spans="1:11" x14ac:dyDescent="0.2">
      <c r="A25" t="s">
        <v>39</v>
      </c>
      <c r="B25" t="s">
        <v>61</v>
      </c>
      <c r="C25" t="s">
        <v>65</v>
      </c>
      <c r="D25">
        <v>2021</v>
      </c>
      <c r="E25" s="3">
        <v>8.4</v>
      </c>
      <c r="F25" s="3">
        <v>6.6</v>
      </c>
      <c r="G25" s="1">
        <v>0.443</v>
      </c>
      <c r="H25">
        <v>259</v>
      </c>
      <c r="I25">
        <v>140</v>
      </c>
      <c r="J25" t="s">
        <v>49</v>
      </c>
      <c r="K25" t="s">
        <v>40</v>
      </c>
    </row>
    <row r="26" spans="1:11" x14ac:dyDescent="0.2">
      <c r="A26" t="s">
        <v>39</v>
      </c>
      <c r="B26" t="s">
        <v>61</v>
      </c>
      <c r="C26" t="s">
        <v>65</v>
      </c>
      <c r="D26">
        <v>2022</v>
      </c>
      <c r="E26" s="3">
        <v>16.100000000000001</v>
      </c>
      <c r="F26" s="3">
        <v>19.600000000000001</v>
      </c>
      <c r="G26" s="1">
        <v>0.58599999999999997</v>
      </c>
      <c r="H26">
        <v>262</v>
      </c>
      <c r="I26">
        <v>140</v>
      </c>
      <c r="J26" t="s">
        <v>50</v>
      </c>
      <c r="K26" t="s">
        <v>40</v>
      </c>
    </row>
    <row r="27" spans="1:11" x14ac:dyDescent="0.2">
      <c r="A27" t="s">
        <v>39</v>
      </c>
      <c r="B27" t="s">
        <v>61</v>
      </c>
      <c r="C27" t="s">
        <v>65</v>
      </c>
      <c r="D27">
        <v>2023</v>
      </c>
      <c r="E27" s="3">
        <v>29.3</v>
      </c>
      <c r="F27" s="3">
        <v>43.6</v>
      </c>
      <c r="G27" s="1">
        <v>0.79500000000000004</v>
      </c>
      <c r="H27">
        <v>260</v>
      </c>
      <c r="I27">
        <v>150</v>
      </c>
      <c r="J27" t="s">
        <v>51</v>
      </c>
      <c r="K27" t="s">
        <v>40</v>
      </c>
    </row>
    <row r="28" spans="1:11" x14ac:dyDescent="0.2">
      <c r="A28" t="s">
        <v>39</v>
      </c>
      <c r="B28" t="s">
        <v>61</v>
      </c>
      <c r="C28" t="s">
        <v>65</v>
      </c>
      <c r="D28">
        <v>2024</v>
      </c>
      <c r="E28" s="3">
        <v>33</v>
      </c>
      <c r="F28" s="3">
        <v>51.9</v>
      </c>
      <c r="G28" s="1">
        <v>0.79900000000000004</v>
      </c>
      <c r="H28">
        <v>260</v>
      </c>
      <c r="I28">
        <v>151</v>
      </c>
      <c r="J28" t="s">
        <v>52</v>
      </c>
      <c r="K28" t="s">
        <v>40</v>
      </c>
    </row>
    <row r="29" spans="1:11" x14ac:dyDescent="0.2">
      <c r="A29" t="s">
        <v>39</v>
      </c>
      <c r="B29" t="s">
        <v>61</v>
      </c>
      <c r="C29" t="s">
        <v>65</v>
      </c>
      <c r="D29">
        <v>2025</v>
      </c>
      <c r="E29" s="3">
        <v>34.9</v>
      </c>
      <c r="F29" s="3">
        <v>53.7</v>
      </c>
      <c r="G29" s="1">
        <v>0.78900000000000003</v>
      </c>
      <c r="H29">
        <v>260</v>
      </c>
      <c r="I29">
        <v>155</v>
      </c>
      <c r="J29" t="s">
        <v>53</v>
      </c>
      <c r="K29" t="s">
        <v>40</v>
      </c>
    </row>
    <row r="30" spans="1:11" x14ac:dyDescent="0.2">
      <c r="A30" t="s">
        <v>41</v>
      </c>
      <c r="B30" t="s">
        <v>61</v>
      </c>
      <c r="C30" t="s">
        <v>65</v>
      </c>
      <c r="D30">
        <v>2019</v>
      </c>
      <c r="E30" s="3">
        <v>13.2</v>
      </c>
      <c r="F30" s="3">
        <v>29.4</v>
      </c>
      <c r="G30" s="1">
        <v>0.71200000000000008</v>
      </c>
      <c r="H30">
        <v>250</v>
      </c>
      <c r="I30">
        <v>160</v>
      </c>
      <c r="J30" t="s">
        <v>48</v>
      </c>
      <c r="K30" t="s">
        <v>62</v>
      </c>
    </row>
    <row r="31" spans="1:11" x14ac:dyDescent="0.2">
      <c r="A31" t="s">
        <v>41</v>
      </c>
      <c r="B31" t="s">
        <v>61</v>
      </c>
      <c r="C31" t="s">
        <v>65</v>
      </c>
      <c r="D31">
        <v>2020</v>
      </c>
      <c r="E31" s="3">
        <v>14</v>
      </c>
      <c r="F31" s="3">
        <v>32.4</v>
      </c>
      <c r="G31" s="1">
        <v>0.71200000000000008</v>
      </c>
      <c r="H31">
        <v>250</v>
      </c>
      <c r="I31">
        <v>160</v>
      </c>
      <c r="J31" t="s">
        <v>42</v>
      </c>
      <c r="K31" t="s">
        <v>62</v>
      </c>
    </row>
    <row r="32" spans="1:11" x14ac:dyDescent="0.2">
      <c r="A32" t="s">
        <v>41</v>
      </c>
      <c r="B32" t="s">
        <v>61</v>
      </c>
      <c r="C32" t="s">
        <v>65</v>
      </c>
      <c r="D32">
        <v>2021</v>
      </c>
      <c r="E32" s="3">
        <v>8.1</v>
      </c>
      <c r="F32" s="3">
        <v>5.8</v>
      </c>
      <c r="G32" s="1">
        <v>0.4</v>
      </c>
      <c r="H32">
        <v>250</v>
      </c>
      <c r="I32">
        <v>140</v>
      </c>
      <c r="J32" t="s">
        <v>43</v>
      </c>
      <c r="K32" t="s">
        <v>62</v>
      </c>
    </row>
    <row r="33" spans="1:11" x14ac:dyDescent="0.2">
      <c r="A33" t="s">
        <v>41</v>
      </c>
      <c r="B33" t="s">
        <v>61</v>
      </c>
      <c r="C33" t="s">
        <v>65</v>
      </c>
      <c r="D33">
        <v>2022</v>
      </c>
      <c r="E33" s="3">
        <v>14.4</v>
      </c>
      <c r="F33" s="3">
        <v>18.5</v>
      </c>
      <c r="G33" s="1">
        <v>0.68</v>
      </c>
      <c r="H33">
        <v>257</v>
      </c>
      <c r="I33">
        <v>150</v>
      </c>
      <c r="J33" t="s">
        <v>44</v>
      </c>
      <c r="K33" t="s">
        <v>62</v>
      </c>
    </row>
    <row r="34" spans="1:11" x14ac:dyDescent="0.2">
      <c r="A34" t="s">
        <v>41</v>
      </c>
      <c r="B34" t="s">
        <v>61</v>
      </c>
      <c r="C34" t="s">
        <v>65</v>
      </c>
      <c r="D34">
        <v>2023</v>
      </c>
      <c r="E34" s="3">
        <v>21</v>
      </c>
      <c r="F34" s="3">
        <v>31.7</v>
      </c>
      <c r="G34" s="1">
        <v>0.8</v>
      </c>
      <c r="H34">
        <v>265</v>
      </c>
      <c r="I34">
        <v>160</v>
      </c>
      <c r="J34" t="s">
        <v>45</v>
      </c>
      <c r="K34" t="s">
        <v>62</v>
      </c>
    </row>
    <row r="35" spans="1:11" x14ac:dyDescent="0.2">
      <c r="A35" t="s">
        <v>41</v>
      </c>
      <c r="B35" t="s">
        <v>61</v>
      </c>
      <c r="C35" t="s">
        <v>65</v>
      </c>
      <c r="D35">
        <v>2024</v>
      </c>
      <c r="E35" s="3">
        <v>22.2</v>
      </c>
      <c r="F35" s="3">
        <v>40</v>
      </c>
      <c r="G35" s="1">
        <v>0.83</v>
      </c>
      <c r="H35">
        <v>284</v>
      </c>
      <c r="I35">
        <v>170</v>
      </c>
      <c r="J35" t="s">
        <v>46</v>
      </c>
      <c r="K35" t="s">
        <v>62</v>
      </c>
    </row>
    <row r="36" spans="1:11" x14ac:dyDescent="0.2">
      <c r="A36" t="s">
        <v>41</v>
      </c>
      <c r="B36" t="s">
        <v>61</v>
      </c>
      <c r="C36" t="s">
        <v>65</v>
      </c>
      <c r="D36">
        <v>2025</v>
      </c>
      <c r="E36" s="3">
        <v>23.6</v>
      </c>
      <c r="F36" s="3">
        <v>43</v>
      </c>
      <c r="G36" s="1">
        <v>0.83</v>
      </c>
      <c r="H36">
        <v>267</v>
      </c>
      <c r="I36">
        <v>170</v>
      </c>
      <c r="J36" t="s">
        <v>47</v>
      </c>
      <c r="K36" t="s">
        <v>62</v>
      </c>
    </row>
    <row r="37" spans="1:11" x14ac:dyDescent="0.2">
      <c r="A37" t="s">
        <v>54</v>
      </c>
      <c r="B37" t="s">
        <v>61</v>
      </c>
      <c r="C37" t="s">
        <v>66</v>
      </c>
      <c r="D37">
        <v>2019</v>
      </c>
      <c r="E37" s="3">
        <v>5.6</v>
      </c>
      <c r="F37" s="3">
        <v>17.5</v>
      </c>
      <c r="G37" s="1">
        <v>0.78700000000000003</v>
      </c>
      <c r="H37">
        <v>101</v>
      </c>
      <c r="I37">
        <v>76</v>
      </c>
      <c r="J37" t="s">
        <v>55</v>
      </c>
      <c r="K37" t="s">
        <v>63</v>
      </c>
    </row>
    <row r="38" spans="1:11" x14ac:dyDescent="0.2">
      <c r="A38" t="s">
        <v>54</v>
      </c>
      <c r="B38" t="s">
        <v>61</v>
      </c>
      <c r="C38" t="s">
        <v>66</v>
      </c>
      <c r="D38">
        <v>2020</v>
      </c>
      <c r="E38" s="3">
        <v>2.6</v>
      </c>
      <c r="F38" s="3">
        <v>4.2</v>
      </c>
      <c r="G38" s="1">
        <v>0.52900000000000003</v>
      </c>
      <c r="H38">
        <v>103</v>
      </c>
      <c r="I38">
        <v>50</v>
      </c>
      <c r="J38" t="s">
        <v>30</v>
      </c>
      <c r="K38" t="s">
        <v>63</v>
      </c>
    </row>
    <row r="39" spans="1:11" x14ac:dyDescent="0.2">
      <c r="A39" t="s">
        <v>54</v>
      </c>
      <c r="B39" t="s">
        <v>61</v>
      </c>
      <c r="C39" t="s">
        <v>66</v>
      </c>
      <c r="D39">
        <v>2021</v>
      </c>
      <c r="E39" s="3">
        <v>3.1</v>
      </c>
      <c r="F39" s="3">
        <v>3.5</v>
      </c>
      <c r="G39" s="1">
        <v>0.39600000000000002</v>
      </c>
      <c r="H39">
        <v>94</v>
      </c>
      <c r="I39">
        <v>64</v>
      </c>
      <c r="J39" t="s">
        <v>56</v>
      </c>
      <c r="K39" t="s">
        <v>63</v>
      </c>
    </row>
    <row r="40" spans="1:11" x14ac:dyDescent="0.2">
      <c r="A40" t="s">
        <v>54</v>
      </c>
      <c r="B40" t="s">
        <v>61</v>
      </c>
      <c r="C40" t="s">
        <v>66</v>
      </c>
      <c r="D40">
        <v>2022</v>
      </c>
      <c r="E40" s="3">
        <v>5</v>
      </c>
      <c r="F40" s="3">
        <v>10</v>
      </c>
      <c r="G40" s="1">
        <v>0.81900000000000006</v>
      </c>
      <c r="H40">
        <v>71</v>
      </c>
      <c r="I40">
        <v>71</v>
      </c>
      <c r="J40" t="s">
        <v>57</v>
      </c>
      <c r="K40" t="s">
        <v>63</v>
      </c>
    </row>
    <row r="41" spans="1:11" x14ac:dyDescent="0.2">
      <c r="A41" t="s">
        <v>54</v>
      </c>
      <c r="B41" t="s">
        <v>61</v>
      </c>
      <c r="C41" t="s">
        <v>66</v>
      </c>
      <c r="D41">
        <v>2023</v>
      </c>
      <c r="E41" s="3">
        <v>5.5</v>
      </c>
      <c r="F41" s="3">
        <v>14</v>
      </c>
      <c r="G41" s="1">
        <v>0.86</v>
      </c>
      <c r="H41">
        <v>85</v>
      </c>
      <c r="I41">
        <v>72</v>
      </c>
      <c r="J41" t="s">
        <v>58</v>
      </c>
      <c r="K41" t="s">
        <v>63</v>
      </c>
    </row>
    <row r="42" spans="1:11" x14ac:dyDescent="0.2">
      <c r="A42" t="s">
        <v>54</v>
      </c>
      <c r="B42" t="s">
        <v>61</v>
      </c>
      <c r="C42" t="s">
        <v>66</v>
      </c>
      <c r="D42">
        <v>2024</v>
      </c>
      <c r="E42" s="3">
        <v>6.9</v>
      </c>
      <c r="F42" s="3">
        <v>18.5</v>
      </c>
      <c r="G42" s="1">
        <v>0.87</v>
      </c>
      <c r="H42">
        <v>97</v>
      </c>
      <c r="I42">
        <v>80</v>
      </c>
      <c r="J42" t="s">
        <v>59</v>
      </c>
      <c r="K42" t="s">
        <v>63</v>
      </c>
    </row>
    <row r="43" spans="1:11" x14ac:dyDescent="0.2">
      <c r="A43" t="s">
        <v>54</v>
      </c>
      <c r="B43" t="s">
        <v>61</v>
      </c>
      <c r="C43" t="s">
        <v>66</v>
      </c>
      <c r="D43">
        <v>2025</v>
      </c>
      <c r="E43" s="3">
        <v>7.8</v>
      </c>
      <c r="F43" s="3">
        <v>22</v>
      </c>
      <c r="G43" s="1">
        <v>0.88</v>
      </c>
      <c r="H43">
        <v>117</v>
      </c>
      <c r="I43">
        <v>91</v>
      </c>
      <c r="J43" t="s">
        <v>60</v>
      </c>
      <c r="K4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E5F9-1F37-5248-8D33-7B6F45936CE2}">
  <dimension ref="A1:K43"/>
  <sheetViews>
    <sheetView tabSelected="1" workbookViewId="0">
      <selection activeCell="J2" sqref="J2"/>
    </sheetView>
  </sheetViews>
  <sheetFormatPr baseColWidth="10" defaultRowHeight="16" x14ac:dyDescent="0.2"/>
  <cols>
    <col min="1" max="1" width="16" customWidth="1"/>
    <col min="2" max="2" width="18.6640625" customWidth="1"/>
    <col min="3" max="3" width="21.5" style="3" customWidth="1"/>
    <col min="4" max="4" width="23" style="3" customWidth="1"/>
    <col min="5" max="5" width="21.1640625" style="3" customWidth="1"/>
    <col min="6" max="6" width="25.6640625" style="3" customWidth="1"/>
    <col min="9" max="9" width="33.1640625" customWidth="1"/>
    <col min="10" max="10" width="16" customWidth="1"/>
  </cols>
  <sheetData>
    <row r="1" spans="1:11" x14ac:dyDescent="0.2">
      <c r="A1" t="s">
        <v>0</v>
      </c>
      <c r="B1" t="s">
        <v>2</v>
      </c>
      <c r="C1" s="3" t="s">
        <v>67</v>
      </c>
      <c r="D1" s="3" t="s">
        <v>68</v>
      </c>
      <c r="E1" s="3" t="s">
        <v>69</v>
      </c>
      <c r="F1" s="5" t="s">
        <v>70</v>
      </c>
      <c r="J1" t="s">
        <v>71</v>
      </c>
      <c r="K1" t="s">
        <v>72</v>
      </c>
    </row>
    <row r="2" spans="1:11" x14ac:dyDescent="0.2">
      <c r="A2" t="s">
        <v>9</v>
      </c>
      <c r="B2">
        <v>2019</v>
      </c>
      <c r="C2" s="3" cm="1">
        <f t="array" ref="C2">IFERROR(
  (
    _xlfn.XLOOKUP(1,
      (Master_data!$A:$A=$A2)*
      (Master_data!$D:$D=$B2),
      Master_data!$E:$E
    )
    /
    _xlfn.XLOOKUP(1,
      (Master_data!$A:$A=$A2)*
      (Master_data!$D:$D=2019),
      Master_data!$E:$E
    )
  )*100,
""
)</f>
        <v>100</v>
      </c>
      <c r="D2" s="3" cm="1">
        <f t="array" ref="D2">IFERROR(
  (
    _xlfn.XLOOKUP(1,
      (Master_data!$A:$A=$A2)*
      (Master_data!$D:$D=$B2),
      Master_data!$F:$F
    )
    /
    _xlfn.XLOOKUP(1,
      (Master_data!$A:$A=$A2)*
      (Master_data!$D:$D=2019),
      Master_data!$F:$F
    )
  )*100,
""
)</f>
        <v>100</v>
      </c>
      <c r="E2" s="3" cm="1">
        <f t="array" ref="E2">IFERROR(
  (
    _xlfn.XLOOKUP(1,
      (Master_data!$A:$A=$A2)*
      (Master_data!$D:$D=$B2),
      Master_data!$H:$H
    )
    /
    _xlfn.XLOOKUP(1,
      (Master_data!$A:$A=$A2)*
      (Master_data!$D:$D=2019),
      Master_data!$H:$H
    )
  )*100,
""
)</f>
        <v>100</v>
      </c>
      <c r="F2" s="3">
        <f>IFERROR(AVERAGE(C2,D2),"")</f>
        <v>100</v>
      </c>
      <c r="I2" t="s">
        <v>73</v>
      </c>
      <c r="J2" s="3">
        <f>AVERAGE(F8,F15,F22)</f>
        <v>165.06665472287858</v>
      </c>
      <c r="K2" s="3">
        <f>AVERAGE(F29,F36,F43)</f>
        <v>135.39936965535057</v>
      </c>
    </row>
    <row r="3" spans="1:11" x14ac:dyDescent="0.2">
      <c r="A3" t="s">
        <v>10</v>
      </c>
      <c r="B3">
        <v>2020</v>
      </c>
      <c r="C3" s="3" cm="1">
        <f t="array" ref="C3">IFERROR(
  (
    _xlfn.XLOOKUP(1,
      (Master_data!$A:$A=$A3)*
      (Master_data!$D:$D=$B3),
      Master_data!$E:$E
    )
    /
    _xlfn.XLOOKUP(1,
      (Master_data!$A:$A=$A3)*
      (Master_data!$D:$D=2019),
      Master_data!$E:$E
    )
  )*100,
""
)</f>
        <v>125.52631578947368</v>
      </c>
      <c r="D3" s="3" cm="1">
        <f t="array" ref="D3">IFERROR(
  (
    _xlfn.XLOOKUP(1,
      (Master_data!$A:$A=$A3)*
      (Master_data!$D:$D=$B3),
      Master_data!$F:$F
    )
    /
    _xlfn.XLOOKUP(1,
      (Master_data!$A:$A=$A3)*
      (Master_data!$D:$D=2019),
      Master_data!$F:$F
    )
  )*100,
""
)</f>
        <v>115.919629057187</v>
      </c>
      <c r="E3" s="3" cm="1">
        <f t="array" ref="E3">IFERROR(
  (
    _xlfn.XLOOKUP(1,
      (Master_data!$A:$A=$A3)*
      (Master_data!$D:$D=$B3),
      Master_data!$H:$H
    )
    /
    _xlfn.XLOOKUP(1,
      (Master_data!$A:$A=$A3)*
      (Master_data!$D:$D=2019),
      Master_data!$H:$H
    )
  )*100,
""
)</f>
        <v>120.7373271889401</v>
      </c>
      <c r="F3" s="3">
        <f t="shared" ref="F3:F43" si="0">IFERROR(AVERAGE(C3,D3),"")</f>
        <v>120.72297242333033</v>
      </c>
    </row>
    <row r="4" spans="1:11" x14ac:dyDescent="0.2">
      <c r="A4" t="s">
        <v>9</v>
      </c>
      <c r="B4">
        <v>2021</v>
      </c>
      <c r="C4" s="3" cm="1">
        <f t="array" ref="C4">IFERROR(
  (
    _xlfn.XLOOKUP(1,
      (Master_data!$A:$A=$A4)*
      (Master_data!$D:$D=$B4),
      Master_data!$E:$E
    )
    /
    _xlfn.XLOOKUP(1,
      (Master_data!$A:$A=$A4)*
      (Master_data!$D:$D=2019),
      Master_data!$E:$E
    )
  )*100,
""
)</f>
        <v>51.315789473684212</v>
      </c>
      <c r="D4" s="3" cm="1">
        <f t="array" ref="D4">IFERROR(
  (
    _xlfn.XLOOKUP(1,
      (Master_data!$A:$A=$A4)*
      (Master_data!$D:$D=$B4),
      Master_data!$F:$F
    )
    /
    _xlfn.XLOOKUP(1,
      (Master_data!$A:$A=$A4)*
      (Master_data!$D:$D=2019),
      Master_data!$F:$F
    )
  )*100,
""
)</f>
        <v>47.449768160741883</v>
      </c>
      <c r="E4" s="3" cm="1">
        <f t="array" ref="E4">IFERROR(
  (
    _xlfn.XLOOKUP(1,
      (Master_data!$A:$A=$A4)*
      (Master_data!$D:$D=$B4),
      Master_data!$H:$H
    )
    /
    _xlfn.XLOOKUP(1,
      (Master_data!$A:$A=$A4)*
      (Master_data!$D:$D=2019),
      Master_data!$H:$H
    )
  )*100,
""
)</f>
        <v>131.33640552995391</v>
      </c>
      <c r="F4" s="3">
        <f t="shared" si="0"/>
        <v>49.382778817213051</v>
      </c>
    </row>
    <row r="5" spans="1:11" x14ac:dyDescent="0.2">
      <c r="A5" t="s">
        <v>9</v>
      </c>
      <c r="B5">
        <v>2022</v>
      </c>
      <c r="C5" s="3" cm="1">
        <f t="array" ref="C5">IFERROR(
  (
    _xlfn.XLOOKUP(1,
      (Master_data!$A:$A=$A5)*
      (Master_data!$D:$D=$B5),
      Master_data!$E:$E
    )
    /
    _xlfn.XLOOKUP(1,
      (Master_data!$A:$A=$A5)*
      (Master_data!$D:$D=2019),
      Master_data!$E:$E
    )
  )*100,
""
)</f>
        <v>89.473684210526315</v>
      </c>
      <c r="D5" s="3" cm="1">
        <f t="array" ref="D5">IFERROR(
  (
    _xlfn.XLOOKUP(1,
      (Master_data!$A:$A=$A5)*
      (Master_data!$D:$D=$B5),
      Master_data!$F:$F
    )
    /
    _xlfn.XLOOKUP(1,
      (Master_data!$A:$A=$A5)*
      (Master_data!$D:$D=2019),
      Master_data!$F:$F
    )
  )*100,
""
)</f>
        <v>76.970633693972161</v>
      </c>
      <c r="E5" s="3" cm="1">
        <f t="array" ref="E5">IFERROR(
  (
    _xlfn.XLOOKUP(1,
      (Master_data!$A:$A=$A5)*
      (Master_data!$D:$D=$B5),
      Master_data!$H:$H
    )
    /
    _xlfn.XLOOKUP(1,
      (Master_data!$A:$A=$A5)*
      (Master_data!$D:$D=2019),
      Master_data!$H:$H
    )
  )*100,
""
)</f>
        <v>126.72811059907833</v>
      </c>
      <c r="F5" s="3">
        <f t="shared" si="0"/>
        <v>83.222158952249231</v>
      </c>
    </row>
    <row r="6" spans="1:11" x14ac:dyDescent="0.2">
      <c r="A6" t="s">
        <v>9</v>
      </c>
      <c r="B6">
        <v>2023</v>
      </c>
      <c r="C6" s="3" cm="1">
        <f t="array" ref="C6">IFERROR(
  (
    _xlfn.XLOOKUP(1,
      (Master_data!$A:$A=$A6)*
      (Master_data!$D:$D=$B6),
      Master_data!$E:$E
    )
    /
    _xlfn.XLOOKUP(1,
      (Master_data!$A:$A=$A6)*
      (Master_data!$D:$D=2019),
      Master_data!$E:$E
    )
  )*100,
""
)</f>
        <v>191.05263157894737</v>
      </c>
      <c r="D6" s="3" cm="1">
        <f t="array" ref="D6">IFERROR(
  (
    _xlfn.XLOOKUP(1,
      (Master_data!$A:$A=$A6)*
      (Master_data!$D:$D=$B6),
      Master_data!$F:$F
    )
    /
    _xlfn.XLOOKUP(1,
      (Master_data!$A:$A=$A6)*
      (Master_data!$D:$D=2019),
      Master_data!$F:$F
    )
  )*100,
""
)</f>
        <v>132.30293663060277</v>
      </c>
      <c r="E6" s="3" cm="1">
        <f t="array" ref="E6">IFERROR(
  (
    _xlfn.XLOOKUP(1,
      (Master_data!$A:$A=$A6)*
      (Master_data!$D:$D=$B6),
      Master_data!$H:$H
    )
    /
    _xlfn.XLOOKUP(1,
      (Master_data!$A:$A=$A6)*
      (Master_data!$D:$D=2019),
      Master_data!$H:$H
    )
  )*100,
""
)</f>
        <v>140.09216589861751</v>
      </c>
      <c r="F6" s="3">
        <f t="shared" si="0"/>
        <v>161.67778410477507</v>
      </c>
    </row>
    <row r="7" spans="1:11" x14ac:dyDescent="0.2">
      <c r="A7" t="s">
        <v>9</v>
      </c>
      <c r="B7">
        <v>2024</v>
      </c>
      <c r="C7" s="3" cm="1">
        <f t="array" ref="C7">IFERROR(
  (
    _xlfn.XLOOKUP(1,
      (Master_data!$A:$A=$A7)*
      (Master_data!$D:$D=$B7),
      Master_data!$E:$E
    )
    /
    _xlfn.XLOOKUP(1,
      (Master_data!$A:$A=$A7)*
      (Master_data!$D:$D=2019),
      Master_data!$E:$E
    )
  )*100,
""
)</f>
        <v>241.84210526315789</v>
      </c>
      <c r="D7" s="3" cm="1">
        <f t="array" ref="D7">IFERROR(
  (
    _xlfn.XLOOKUP(1,
      (Master_data!$A:$A=$A7)*
      (Master_data!$D:$D=$B7),
      Master_data!$F:$F
    )
    /
    _xlfn.XLOOKUP(1,
      (Master_data!$A:$A=$A7)*
      (Master_data!$D:$D=2019),
      Master_data!$F:$F
    )
  )*100,
""
)</f>
        <v>164.91499227202473</v>
      </c>
      <c r="E7" s="3" cm="1">
        <f t="array" ref="E7">IFERROR(
  (
    _xlfn.XLOOKUP(1,
      (Master_data!$A:$A=$A7)*
      (Master_data!$D:$D=$B7),
      Master_data!$H:$H
    )
    /
    _xlfn.XLOOKUP(1,
      (Master_data!$A:$A=$A7)*
      (Master_data!$D:$D=2019),
      Master_data!$H:$H
    )
  )*100,
""
)</f>
        <v>169.12442396313364</v>
      </c>
      <c r="F7" s="3">
        <f t="shared" si="0"/>
        <v>203.37854876759133</v>
      </c>
    </row>
    <row r="8" spans="1:11" x14ac:dyDescent="0.2">
      <c r="A8" t="s">
        <v>9</v>
      </c>
      <c r="B8">
        <v>2025</v>
      </c>
      <c r="C8" s="3" cm="1">
        <f t="array" ref="C8">IFERROR(
  (
    _xlfn.XLOOKUP(1,
      (Master_data!$A:$A=$A8)*
      (Master_data!$D:$D=$B8),
      Master_data!$E:$E
    )
    /
    _xlfn.XLOOKUP(1,
      (Master_data!$A:$A=$A8)*
      (Master_data!$D:$D=2019),
      Master_data!$E:$E
    )
  )*100,
""
)</f>
        <v>283.4210526315789</v>
      </c>
      <c r="D8" s="3" cm="1">
        <f t="array" ref="D8">IFERROR(
  (
    _xlfn.XLOOKUP(1,
      (Master_data!$A:$A=$A8)*
      (Master_data!$D:$D=$B8),
      Master_data!$F:$F
    )
    /
    _xlfn.XLOOKUP(1,
      (Master_data!$A:$A=$A8)*
      (Master_data!$D:$D=2019),
      Master_data!$F:$F
    )
  )*100,
""
)</f>
        <v>183.30757341576503</v>
      </c>
      <c r="E8" s="3" cm="1">
        <f t="array" ref="E8">IFERROR(
  (
    _xlfn.XLOOKUP(1,
      (Master_data!$A:$A=$A8)*
      (Master_data!$D:$D=$B8),
      Master_data!$H:$H
    )
    /
    _xlfn.XLOOKUP(1,
      (Master_data!$A:$A=$A8)*
      (Master_data!$D:$D=2019),
      Master_data!$H:$H
    )
  )*100,
""
)</f>
        <v>200</v>
      </c>
      <c r="F8" s="3">
        <f t="shared" si="0"/>
        <v>233.36431302367197</v>
      </c>
    </row>
    <row r="9" spans="1:11" x14ac:dyDescent="0.2">
      <c r="A9" t="s">
        <v>18</v>
      </c>
      <c r="B9">
        <v>2019</v>
      </c>
      <c r="C9" s="3" cm="1">
        <f t="array" ref="C9">IFERROR(
  (
    _xlfn.XLOOKUP(1,
      (Master_data!$A:$A=$A9)*
      (Master_data!$D:$D=$B9),
      Master_data!$E:$E
    )
    /
    _xlfn.XLOOKUP(1,
      (Master_data!$A:$A=$A9)*
      (Master_data!$D:$D=2019),
      Master_data!$E:$E
    )
  )*100,
""
)</f>
        <v>100</v>
      </c>
      <c r="D9" s="3" cm="1">
        <f t="array" ref="D9">IFERROR(
  (
    _xlfn.XLOOKUP(1,
      (Master_data!$A:$A=$A9)*
      (Master_data!$D:$D=$B9),
      Master_data!$F:$F
    )
    /
    _xlfn.XLOOKUP(1,
      (Master_data!$A:$A=$A9)*
      (Master_data!$D:$D=2019),
      Master_data!$F:$F
    )
  )*100,
""
)</f>
        <v>100</v>
      </c>
      <c r="E9" s="3" cm="1">
        <f t="array" ref="E9">IFERROR(
  (
    _xlfn.XLOOKUP(1,
      (Master_data!$A:$A=$A9)*
      (Master_data!$D:$D=$B9),
      Master_data!$H:$H
    )
    /
    _xlfn.XLOOKUP(1,
      (Master_data!$A:$A=$A9)*
      (Master_data!$D:$D=2019),
      Master_data!$H:$H
    )
  )*100,
""
)</f>
        <v>100</v>
      </c>
      <c r="F9" s="3">
        <f t="shared" si="0"/>
        <v>100</v>
      </c>
    </row>
    <row r="10" spans="1:11" x14ac:dyDescent="0.2">
      <c r="A10" t="s">
        <v>18</v>
      </c>
      <c r="B10">
        <v>2020</v>
      </c>
      <c r="C10" s="3" cm="1">
        <f t="array" ref="C10">IFERROR(
  (
    _xlfn.XLOOKUP(1,
      (Master_data!$A:$A=$A10)*
      (Master_data!$D:$D=$B10),
      Master_data!$E:$E
    )
    /
    _xlfn.XLOOKUP(1,
      (Master_data!$A:$A=$A10)*
      (Master_data!$D:$D=2019),
      Master_data!$E:$E
    )
  )*100,
""
)</f>
        <v>107.64872521246458</v>
      </c>
      <c r="D10" s="3" cm="1">
        <f t="array" ref="D10">IFERROR(
  (
    _xlfn.XLOOKUP(1,
      (Master_data!$A:$A=$A10)*
      (Master_data!$D:$D=$B10),
      Master_data!$F:$F
    )
    /
    _xlfn.XLOOKUP(1,
      (Master_data!$A:$A=$A10)*
      (Master_data!$D:$D=2019),
      Master_data!$F:$F
    )
  )*100,
""
)</f>
        <v>101.80995475113122</v>
      </c>
      <c r="E10" s="3" cm="1">
        <f t="array" ref="E10">IFERROR(
  (
    _xlfn.XLOOKUP(1,
      (Master_data!$A:$A=$A10)*
      (Master_data!$D:$D=$B10),
      Master_data!$H:$H
    )
    /
    _xlfn.XLOOKUP(1,
      (Master_data!$A:$A=$A10)*
      (Master_data!$D:$D=2019),
      Master_data!$H:$H
    )
  )*100,
""
)</f>
        <v>96.8</v>
      </c>
      <c r="F10" s="3">
        <f t="shared" si="0"/>
        <v>104.72933998179789</v>
      </c>
    </row>
    <row r="11" spans="1:11" x14ac:dyDescent="0.2">
      <c r="A11" t="s">
        <v>18</v>
      </c>
      <c r="B11">
        <v>2021</v>
      </c>
      <c r="C11" s="3" cm="1">
        <f t="array" ref="C11">IFERROR(
  (
    _xlfn.XLOOKUP(1,
      (Master_data!$A:$A=$A11)*
      (Master_data!$D:$D=$B11),
      Master_data!$E:$E
    )
    /
    _xlfn.XLOOKUP(1,
      (Master_data!$A:$A=$A11)*
      (Master_data!$D:$D=2019),
      Master_data!$E:$E
    )
  )*100,
""
)</f>
        <v>45.609065155807372</v>
      </c>
      <c r="D11" s="3" cm="1">
        <f t="array" ref="D11">IFERROR(
  (
    _xlfn.XLOOKUP(1,
      (Master_data!$A:$A=$A11)*
      (Master_data!$D:$D=$B11),
      Master_data!$F:$F
    )
    /
    _xlfn.XLOOKUP(1,
      (Master_data!$A:$A=$A11)*
      (Master_data!$D:$D=2019),
      Master_data!$F:$F
    )
  )*100,
""
)</f>
        <v>28.50678733031674</v>
      </c>
      <c r="E11" s="3" cm="1">
        <f t="array" ref="E11">IFERROR(
  (
    _xlfn.XLOOKUP(1,
      (Master_data!$A:$A=$A11)*
      (Master_data!$D:$D=$B11),
      Master_data!$H:$H
    )
    /
    _xlfn.XLOOKUP(1,
      (Master_data!$A:$A=$A11)*
      (Master_data!$D:$D=2019),
      Master_data!$H:$H
    )
  )*100,
""
)</f>
        <v>96.8</v>
      </c>
      <c r="F11" s="3">
        <f t="shared" si="0"/>
        <v>37.057926243062056</v>
      </c>
    </row>
    <row r="12" spans="1:11" x14ac:dyDescent="0.2">
      <c r="A12" t="s">
        <v>18</v>
      </c>
      <c r="B12">
        <v>2022</v>
      </c>
      <c r="C12" s="3" cm="1">
        <f t="array" ref="C12">IFERROR(
  (
    _xlfn.XLOOKUP(1,
      (Master_data!$A:$A=$A12)*
      (Master_data!$D:$D=$B12),
      Master_data!$E:$E
    )
    /
    _xlfn.XLOOKUP(1,
      (Master_data!$A:$A=$A12)*
      (Master_data!$D:$D=2019),
      Master_data!$E:$E
    )
  )*100,
""
)</f>
        <v>74.787535410764889</v>
      </c>
      <c r="D12" s="3" cm="1">
        <f t="array" ref="D12">IFERROR(
  (
    _xlfn.XLOOKUP(1,
      (Master_data!$A:$A=$A12)*
      (Master_data!$D:$D=$B12),
      Master_data!$F:$F
    )
    /
    _xlfn.XLOOKUP(1,
      (Master_data!$A:$A=$A12)*
      (Master_data!$D:$D=2019),
      Master_data!$F:$F
    )
  )*100,
""
)</f>
        <v>52.036199095022617</v>
      </c>
      <c r="E12" s="3" cm="1">
        <f t="array" ref="E12">IFERROR(
  (
    _xlfn.XLOOKUP(1,
      (Master_data!$A:$A=$A12)*
      (Master_data!$D:$D=$B12),
      Master_data!$H:$H
    )
    /
    _xlfn.XLOOKUP(1,
      (Master_data!$A:$A=$A12)*
      (Master_data!$D:$D=2019),
      Master_data!$H:$H
    )
  )*100,
""
)</f>
        <v>90.4</v>
      </c>
      <c r="F12" s="3">
        <f t="shared" si="0"/>
        <v>63.411867252893757</v>
      </c>
    </row>
    <row r="13" spans="1:11" x14ac:dyDescent="0.2">
      <c r="A13" t="s">
        <v>18</v>
      </c>
      <c r="B13">
        <v>2023</v>
      </c>
      <c r="C13" s="3" cm="1">
        <f t="array" ref="C13">IFERROR(
  (
    _xlfn.XLOOKUP(1,
      (Master_data!$A:$A=$A13)*
      (Master_data!$D:$D=$B13),
      Master_data!$E:$E
    )
    /
    _xlfn.XLOOKUP(1,
      (Master_data!$A:$A=$A13)*
      (Master_data!$D:$D=2019),
      Master_data!$E:$E
    )
  )*100,
""
)</f>
        <v>118.41359773371106</v>
      </c>
      <c r="D13" s="3" cm="1">
        <f t="array" ref="D13">IFERROR(
  (
    _xlfn.XLOOKUP(1,
      (Master_data!$A:$A=$A13)*
      (Master_data!$D:$D=$B13),
      Master_data!$F:$F
    )
    /
    _xlfn.XLOOKUP(1,
      (Master_data!$A:$A=$A13)*
      (Master_data!$D:$D=2019),
      Master_data!$F:$F
    )
  )*100,
""
)</f>
        <v>83.710407239818991</v>
      </c>
      <c r="E13" s="3" cm="1">
        <f t="array" ref="E13">IFERROR(
  (
    _xlfn.XLOOKUP(1,
      (Master_data!$A:$A=$A13)*
      (Master_data!$D:$D=$B13),
      Master_data!$H:$H
    )
    /
    _xlfn.XLOOKUP(1,
      (Master_data!$A:$A=$A13)*
      (Master_data!$D:$D=2019),
      Master_data!$H:$H
    )
  )*100,
""
)</f>
        <v>97.6</v>
      </c>
      <c r="F13" s="3">
        <f t="shared" si="0"/>
        <v>101.06200248676502</v>
      </c>
    </row>
    <row r="14" spans="1:11" x14ac:dyDescent="0.2">
      <c r="A14" t="s">
        <v>18</v>
      </c>
      <c r="B14">
        <v>2024</v>
      </c>
      <c r="C14" s="3" cm="1">
        <f t="array" ref="C14">IFERROR(
  (
    _xlfn.XLOOKUP(1,
      (Master_data!$A:$A=$A14)*
      (Master_data!$D:$D=$B14),
      Master_data!$E:$E
    )
    /
    _xlfn.XLOOKUP(1,
      (Master_data!$A:$A=$A14)*
      (Master_data!$D:$D=2019),
      Master_data!$E:$E
    )
  )*100,
""
)</f>
        <v>251.27478753541075</v>
      </c>
      <c r="D14" s="3" cm="1">
        <f t="array" ref="D14">IFERROR(
  (
    _xlfn.XLOOKUP(1,
      (Master_data!$A:$A=$A14)*
      (Master_data!$D:$D=$B14),
      Master_data!$F:$F
    )
    /
    _xlfn.XLOOKUP(1,
      (Master_data!$A:$A=$A14)*
      (Master_data!$D:$D=2019),
      Master_data!$F:$F
    )
  )*100,
""
)</f>
        <v>110.85972850678732</v>
      </c>
      <c r="E14" s="3" cm="1">
        <f t="array" ref="E14">IFERROR(
  (
    _xlfn.XLOOKUP(1,
      (Master_data!$A:$A=$A14)*
      (Master_data!$D:$D=$B14),
      Master_data!$H:$H
    )
    /
    _xlfn.XLOOKUP(1,
      (Master_data!$A:$A=$A14)*
      (Master_data!$D:$D=2019),
      Master_data!$H:$H
    )
  )*100,
""
)</f>
        <v>115.99999999999999</v>
      </c>
      <c r="F14" s="3">
        <f t="shared" si="0"/>
        <v>181.06725802109904</v>
      </c>
    </row>
    <row r="15" spans="1:11" x14ac:dyDescent="0.2">
      <c r="A15" t="s">
        <v>18</v>
      </c>
      <c r="B15">
        <v>2025</v>
      </c>
      <c r="C15" s="3" cm="1">
        <f t="array" ref="C15">IFERROR(
  (
    _xlfn.XLOOKUP(1,
      (Master_data!$A:$A=$A15)*
      (Master_data!$D:$D=$B15),
      Master_data!$E:$E
    )
    /
    _xlfn.XLOOKUP(1,
      (Master_data!$A:$A=$A15)*
      (Master_data!$D:$D=2019),
      Master_data!$E:$E
    )
  )*100,
""
)</f>
        <v>296.88385269121818</v>
      </c>
      <c r="D15" s="3" cm="1">
        <f t="array" ref="D15">IFERROR(
  (
    _xlfn.XLOOKUP(1,
      (Master_data!$A:$A=$A15)*
      (Master_data!$D:$D=$B15),
      Master_data!$F:$F
    )
    /
    _xlfn.XLOOKUP(1,
      (Master_data!$A:$A=$A15)*
      (Master_data!$D:$D=2019),
      Master_data!$F:$F
    )
  )*100,
""
)</f>
        <v>126.69683257918551</v>
      </c>
      <c r="E15" s="3" cm="1">
        <f t="array" ref="E15">IFERROR(
  (
    _xlfn.XLOOKUP(1,
      (Master_data!$A:$A=$A15)*
      (Master_data!$D:$D=$B15),
      Master_data!$H:$H
    )
    /
    _xlfn.XLOOKUP(1,
      (Master_data!$A:$A=$A15)*
      (Master_data!$D:$D=2019),
      Master_data!$H:$H
    )
  )*100,
""
)</f>
        <v>166.4</v>
      </c>
      <c r="F15" s="3">
        <f t="shared" si="0"/>
        <v>211.79034263520185</v>
      </c>
    </row>
    <row r="16" spans="1:11" x14ac:dyDescent="0.2">
      <c r="A16" t="s">
        <v>35</v>
      </c>
      <c r="B16">
        <v>2019</v>
      </c>
      <c r="C16" s="3" cm="1">
        <f t="array" ref="C16">IFERROR(
  (
    _xlfn.XLOOKUP(1,
      (Master_data!$A:$A=$A16)*
      (Master_data!$D:$D=$B16),
      Master_data!$E:$E
    )
    /
    _xlfn.XLOOKUP(1,
      (Master_data!$A:$A=$A16)*
      (Master_data!$D:$D=2019),
      Master_data!$E:$E
    )
  )*100,
""
)</f>
        <v>100</v>
      </c>
      <c r="D16" s="3" cm="1">
        <f t="array" ref="D16">IFERROR(
  (
    _xlfn.XLOOKUP(1,
      (Master_data!$A:$A=$A16)*
      (Master_data!$D:$D=$B16),
      Master_data!$F:$F
    )
    /
    _xlfn.XLOOKUP(1,
      (Master_data!$A:$A=$A16)*
      (Master_data!$D:$D=2019),
      Master_data!$F:$F
    )
  )*100,
""
)</f>
        <v>100</v>
      </c>
      <c r="E16" s="3" cm="1">
        <f t="array" ref="E16">IFERROR(
  (
    _xlfn.XLOOKUP(1,
      (Master_data!$A:$A=$A16)*
      (Master_data!$D:$D=$B16),
      Master_data!$H:$H
    )
    /
    _xlfn.XLOOKUP(1,
      (Master_data!$A:$A=$A16)*
      (Master_data!$D:$D=2019),
      Master_data!$H:$H
    )
  )*100,
""
)</f>
        <v>100</v>
      </c>
      <c r="F16" s="3">
        <f t="shared" si="0"/>
        <v>100</v>
      </c>
    </row>
    <row r="17" spans="1:6" x14ac:dyDescent="0.2">
      <c r="A17" t="s">
        <v>35</v>
      </c>
      <c r="B17">
        <v>2020</v>
      </c>
      <c r="C17" s="3" cm="1">
        <f t="array" ref="C17">IFERROR(
  (
    _xlfn.XLOOKUP(1,
      (Master_data!$A:$A=$A17)*
      (Master_data!$D:$D=$B17),
      Master_data!$E:$E
    )
    /
    _xlfn.XLOOKUP(1,
      (Master_data!$A:$A=$A17)*
      (Master_data!$D:$D=2019),
      Master_data!$E:$E
    )
  )*100,
""
)</f>
        <v>135.24590163934425</v>
      </c>
      <c r="D17" s="3" cm="1">
        <f t="array" ref="D17">IFERROR(
  (
    _xlfn.XLOOKUP(1,
      (Master_data!$A:$A=$A17)*
      (Master_data!$D:$D=$B17),
      Master_data!$F:$F
    )
    /
    _xlfn.XLOOKUP(1,
      (Master_data!$A:$A=$A17)*
      (Master_data!$D:$D=2019),
      Master_data!$F:$F
    )
  )*100,
""
)</f>
        <v>124.12060301507539</v>
      </c>
      <c r="E17" s="3" cm="1">
        <f t="array" ref="E17">IFERROR(
  (
    _xlfn.XLOOKUP(1,
      (Master_data!$A:$A=$A17)*
      (Master_data!$D:$D=$B17),
      Master_data!$H:$H
    )
    /
    _xlfn.XLOOKUP(1,
      (Master_data!$A:$A=$A17)*
      (Master_data!$D:$D=2019),
      Master_data!$H:$H
    )
  )*100,
""
)</f>
        <v>150</v>
      </c>
      <c r="F17" s="3">
        <f t="shared" si="0"/>
        <v>129.68325232720983</v>
      </c>
    </row>
    <row r="18" spans="1:6" x14ac:dyDescent="0.2">
      <c r="A18" t="s">
        <v>35</v>
      </c>
      <c r="B18">
        <v>2021</v>
      </c>
      <c r="C18" s="3" cm="1">
        <f t="array" ref="C18">IFERROR(
  (
    _xlfn.XLOOKUP(1,
      (Master_data!$A:$A=$A18)*
      (Master_data!$D:$D=$B18),
      Master_data!$E:$E
    )
    /
    _xlfn.XLOOKUP(1,
      (Master_data!$A:$A=$A18)*
      (Master_data!$D:$D=2019),
      Master_data!$E:$E
    )
  )*100,
""
)</f>
        <v>56.557377049180324</v>
      </c>
      <c r="D18" s="3" cm="1">
        <f t="array" ref="D18">IFERROR(
  (
    _xlfn.XLOOKUP(1,
      (Master_data!$A:$A=$A18)*
      (Master_data!$D:$D=$B18),
      Master_data!$F:$F
    )
    /
    _xlfn.XLOOKUP(1,
      (Master_data!$A:$A=$A18)*
      (Master_data!$D:$D=2019),
      Master_data!$F:$F
    )
  )*100,
""
)</f>
        <v>38.693467336683419</v>
      </c>
      <c r="E18" s="3" cm="1">
        <f t="array" ref="E18">IFERROR(
  (
    _xlfn.XLOOKUP(1,
      (Master_data!$A:$A=$A18)*
      (Master_data!$D:$D=$B18),
      Master_data!$H:$H
    )
    /
    _xlfn.XLOOKUP(1,
      (Master_data!$A:$A=$A18)*
      (Master_data!$D:$D=2019),
      Master_data!$H:$H
    )
  )*100,
""
)</f>
        <v>123.68421052631579</v>
      </c>
      <c r="F18" s="3">
        <f t="shared" si="0"/>
        <v>47.625422192931872</v>
      </c>
    </row>
    <row r="19" spans="1:6" x14ac:dyDescent="0.2">
      <c r="A19" t="s">
        <v>35</v>
      </c>
      <c r="B19">
        <v>2022</v>
      </c>
      <c r="C19" s="3" cm="1">
        <f t="array" ref="C19">IFERROR(
  (
    _xlfn.XLOOKUP(1,
      (Master_data!$A:$A=$A19)*
      (Master_data!$D:$D=$B19),
      Master_data!$E:$E
    )
    /
    _xlfn.XLOOKUP(1,
      (Master_data!$A:$A=$A19)*
      (Master_data!$D:$D=2019),
      Master_data!$E:$E
    )
  )*100,
""
)</f>
        <v>71.311475409836063</v>
      </c>
      <c r="D19" s="3" cm="1">
        <f t="array" ref="D19">IFERROR(
  (
    _xlfn.XLOOKUP(1,
      (Master_data!$A:$A=$A19)*
      (Master_data!$D:$D=$B19),
      Master_data!$F:$F
    )
    /
    _xlfn.XLOOKUP(1,
      (Master_data!$A:$A=$A19)*
      (Master_data!$D:$D=2019),
      Master_data!$F:$F
    )
  )*100,
""
)</f>
        <v>45.728643216080407</v>
      </c>
      <c r="E19" s="3" cm="1">
        <f t="array" ref="E19">IFERROR(
  (
    _xlfn.XLOOKUP(1,
      (Master_data!$A:$A=$A19)*
      (Master_data!$D:$D=$B19),
      Master_data!$H:$H
    )
    /
    _xlfn.XLOOKUP(1,
      (Master_data!$A:$A=$A19)*
      (Master_data!$D:$D=2019),
      Master_data!$H:$H
    )
  )*100,
""
)</f>
        <v>82.89473684210526</v>
      </c>
      <c r="F19" s="3">
        <f t="shared" si="0"/>
        <v>58.520059312958239</v>
      </c>
    </row>
    <row r="20" spans="1:6" x14ac:dyDescent="0.2">
      <c r="A20" t="s">
        <v>35</v>
      </c>
      <c r="B20">
        <v>2023</v>
      </c>
      <c r="C20" s="3" cm="1">
        <f t="array" ref="C20">IFERROR(
  (
    _xlfn.XLOOKUP(1,
      (Master_data!$A:$A=$A20)*
      (Master_data!$D:$D=$B20),
      Master_data!$E:$E
    )
    /
    _xlfn.XLOOKUP(1,
      (Master_data!$A:$A=$A20)*
      (Master_data!$D:$D=2019),
      Master_data!$E:$E
    )
  )*100,
""
)</f>
        <v>96.721311475409834</v>
      </c>
      <c r="D20" s="3" cm="1">
        <f t="array" ref="D20">IFERROR(
  (
    _xlfn.XLOOKUP(1,
      (Master_data!$A:$A=$A20)*
      (Master_data!$D:$D=$B20),
      Master_data!$F:$F
    )
    /
    _xlfn.XLOOKUP(1,
      (Master_data!$A:$A=$A20)*
      (Master_data!$D:$D=2019),
      Master_data!$F:$F
    )
  )*100,
""
)</f>
        <v>63.819095477386931</v>
      </c>
      <c r="E20" s="3" cm="1">
        <f t="array" ref="E20">IFERROR(
  (
    _xlfn.XLOOKUP(1,
      (Master_data!$A:$A=$A20)*
      (Master_data!$D:$D=$B20),
      Master_data!$H:$H
    )
    /
    _xlfn.XLOOKUP(1,
      (Master_data!$A:$A=$A20)*
      (Master_data!$D:$D=2019),
      Master_data!$H:$H
    )
  )*100,
""
)</f>
        <v>51.315789473684212</v>
      </c>
      <c r="F20" s="3">
        <f t="shared" si="0"/>
        <v>80.270203476398379</v>
      </c>
    </row>
    <row r="21" spans="1:6" x14ac:dyDescent="0.2">
      <c r="A21" t="s">
        <v>35</v>
      </c>
      <c r="B21">
        <v>2024</v>
      </c>
      <c r="C21" s="3" cm="1">
        <f t="array" ref="C21">IFERROR(
  (
    _xlfn.XLOOKUP(1,
      (Master_data!$A:$A=$A21)*
      (Master_data!$D:$D=$B21),
      Master_data!$E:$E
    )
    /
    _xlfn.XLOOKUP(1,
      (Master_data!$A:$A=$A21)*
      (Master_data!$D:$D=2019),
      Master_data!$E:$E
    )
  )*100,
""
)</f>
        <v>77.049180327868854</v>
      </c>
      <c r="D21" s="3" cm="1">
        <f t="array" ref="D21">IFERROR(
  (
    _xlfn.XLOOKUP(1,
      (Master_data!$A:$A=$A21)*
      (Master_data!$D:$D=$B21),
      Master_data!$F:$F
    )
    /
    _xlfn.XLOOKUP(1,
      (Master_data!$A:$A=$A21)*
      (Master_data!$D:$D=2019),
      Master_data!$F:$F
    )
  )*100,
""
)</f>
        <v>52.763819095477395</v>
      </c>
      <c r="E21" s="3" cm="1">
        <f t="array" ref="E21">IFERROR(
  (
    _xlfn.XLOOKUP(1,
      (Master_data!$A:$A=$A21)*
      (Master_data!$D:$D=$B21),
      Master_data!$H:$H
    )
    /
    _xlfn.XLOOKUP(1,
      (Master_data!$A:$A=$A21)*
      (Master_data!$D:$D=2019),
      Master_data!$H:$H
    )
  )*100,
""
)</f>
        <v>32.894736842105267</v>
      </c>
      <c r="F21" s="3">
        <f t="shared" si="0"/>
        <v>64.906499711673121</v>
      </c>
    </row>
    <row r="22" spans="1:6" x14ac:dyDescent="0.2">
      <c r="A22" t="s">
        <v>35</v>
      </c>
      <c r="B22">
        <v>2025</v>
      </c>
      <c r="C22" s="3" cm="1">
        <f t="array" ref="C22">IFERROR(
  (
    _xlfn.XLOOKUP(1,
      (Master_data!$A:$A=$A22)*
      (Master_data!$D:$D=$B22),
      Master_data!$E:$E
    )
    /
    _xlfn.XLOOKUP(1,
      (Master_data!$A:$A=$A22)*
      (Master_data!$D:$D=2019),
      Master_data!$E:$E
    )
  )*100,
""
)</f>
        <v>57.377049180327866</v>
      </c>
      <c r="D22" s="3" cm="1">
        <f t="array" ref="D22">IFERROR(
  (
    _xlfn.XLOOKUP(1,
      (Master_data!$A:$A=$A22)*
      (Master_data!$D:$D=$B22),
      Master_data!$F:$F
    )
    /
    _xlfn.XLOOKUP(1,
      (Master_data!$A:$A=$A22)*
      (Master_data!$D:$D=2019),
      Master_data!$F:$F
    )
  )*100,
""
)</f>
        <v>42.713567839195981</v>
      </c>
      <c r="E22" s="3" cm="1">
        <f t="array" ref="E22">IFERROR(
  (
    _xlfn.XLOOKUP(1,
      (Master_data!$A:$A=$A22)*
      (Master_data!$D:$D=$B22),
      Master_data!$H:$H
    )
    /
    _xlfn.XLOOKUP(1,
      (Master_data!$A:$A=$A22)*
      (Master_data!$D:$D=2019),
      Master_data!$H:$H
    )
  )*100,
""
)</f>
        <v>46.05263157894737</v>
      </c>
      <c r="F22" s="3">
        <f t="shared" si="0"/>
        <v>50.045308509761924</v>
      </c>
    </row>
    <row r="23" spans="1:6" x14ac:dyDescent="0.2">
      <c r="A23" t="s">
        <v>39</v>
      </c>
      <c r="B23">
        <v>2019</v>
      </c>
      <c r="C23" s="3" cm="1">
        <f t="array" ref="C23">IFERROR(
  (
    _xlfn.XLOOKUP(1,
      (Master_data!$A:$A=$A23)*
      (Master_data!$D:$D=$B23),
      Master_data!$E:$E
    )
    /
    _xlfn.XLOOKUP(1,
      (Master_data!$A:$A=$A23)*
      (Master_data!$D:$D=2019),
      Master_data!$E:$E
    )
  )*100,
""
)</f>
        <v>100</v>
      </c>
      <c r="D23" s="3" cm="1">
        <f t="array" ref="D23">IFERROR(
  (
    _xlfn.XLOOKUP(1,
      (Master_data!$A:$A=$A23)*
      (Master_data!$D:$D=$B23),
      Master_data!$F:$F
    )
    /
    _xlfn.XLOOKUP(1,
      (Master_data!$A:$A=$A23)*
      (Master_data!$D:$D=2019),
      Master_data!$F:$F
    )
  )*100,
""
)</f>
        <v>100</v>
      </c>
      <c r="E23" s="3" cm="1">
        <f t="array" ref="E23">IFERROR(
  (
    _xlfn.XLOOKUP(1,
      (Master_data!$A:$A=$A23)*
      (Master_data!$D:$D=$B23),
      Master_data!$H:$H
    )
    /
    _xlfn.XLOOKUP(1,
      (Master_data!$A:$A=$A23)*
      (Master_data!$D:$D=2019),
      Master_data!$H:$H
    )
  )*100,
""
)</f>
        <v>100</v>
      </c>
      <c r="F23" s="3">
        <f t="shared" si="0"/>
        <v>100</v>
      </c>
    </row>
    <row r="24" spans="1:6" x14ac:dyDescent="0.2">
      <c r="A24" t="s">
        <v>39</v>
      </c>
      <c r="B24">
        <v>2020</v>
      </c>
      <c r="C24" s="3" cm="1">
        <f t="array" ref="C24">IFERROR(
  (
    _xlfn.XLOOKUP(1,
      (Master_data!$A:$A=$A24)*
      (Master_data!$D:$D=$B24),
      Master_data!$E:$E
    )
    /
    _xlfn.XLOOKUP(1,
      (Master_data!$A:$A=$A24)*
      (Master_data!$D:$D=2019),
      Master_data!$E:$E
    )
  )*100,
""
)</f>
        <v>92.883895131086149</v>
      </c>
      <c r="D24" s="3" cm="1">
        <f t="array" ref="D24">IFERROR(
  (
    _xlfn.XLOOKUP(1,
      (Master_data!$A:$A=$A24)*
      (Master_data!$D:$D=$B24),
      Master_data!$F:$F
    )
    /
    _xlfn.XLOOKUP(1,
      (Master_data!$A:$A=$A24)*
      (Master_data!$D:$D=2019),
      Master_data!$F:$F
    )
  )*100,
""
)</f>
        <v>95.904436860068259</v>
      </c>
      <c r="E24" s="3" cm="1">
        <f t="array" ref="E24">IFERROR(
  (
    _xlfn.XLOOKUP(1,
      (Master_data!$A:$A=$A24)*
      (Master_data!$D:$D=$B24),
      Master_data!$H:$H
    )
    /
    _xlfn.XLOOKUP(1,
      (Master_data!$A:$A=$A24)*
      (Master_data!$D:$D=2019),
      Master_data!$H:$H
    )
  )*100,
""
)</f>
        <v>100</v>
      </c>
      <c r="F24" s="3">
        <f t="shared" si="0"/>
        <v>94.394165995577197</v>
      </c>
    </row>
    <row r="25" spans="1:6" x14ac:dyDescent="0.2">
      <c r="A25" t="s">
        <v>39</v>
      </c>
      <c r="B25">
        <v>2021</v>
      </c>
      <c r="C25" s="3" cm="1">
        <f t="array" ref="C25">IFERROR(
  (
    _xlfn.XLOOKUP(1,
      (Master_data!$A:$A=$A25)*
      (Master_data!$D:$D=$B25),
      Master_data!$E:$E
    )
    /
    _xlfn.XLOOKUP(1,
      (Master_data!$A:$A=$A25)*
      (Master_data!$D:$D=2019),
      Master_data!$E:$E
    )
  )*100,
""
)</f>
        <v>31.460674157303377</v>
      </c>
      <c r="D25" s="3" cm="1">
        <f t="array" ref="D25">IFERROR(
  (
    _xlfn.XLOOKUP(1,
      (Master_data!$A:$A=$A25)*
      (Master_data!$D:$D=$B25),
      Master_data!$F:$F
    )
    /
    _xlfn.XLOOKUP(1,
      (Master_data!$A:$A=$A25)*
      (Master_data!$D:$D=2019),
      Master_data!$F:$F
    )
  )*100,
""
)</f>
        <v>11.262798634812286</v>
      </c>
      <c r="E25" s="3" cm="1">
        <f t="array" ref="E25">IFERROR(
  (
    _xlfn.XLOOKUP(1,
      (Master_data!$A:$A=$A25)*
      (Master_data!$D:$D=$B25),
      Master_data!$H:$H
    )
    /
    _xlfn.XLOOKUP(1,
      (Master_data!$A:$A=$A25)*
      (Master_data!$D:$D=2019),
      Master_data!$H:$H
    )
  )*100,
""
)</f>
        <v>95.925925925925924</v>
      </c>
      <c r="F25" s="3">
        <f t="shared" si="0"/>
        <v>21.361736396057832</v>
      </c>
    </row>
    <row r="26" spans="1:6" x14ac:dyDescent="0.2">
      <c r="A26" t="s">
        <v>39</v>
      </c>
      <c r="B26">
        <v>2022</v>
      </c>
      <c r="C26" s="3" cm="1">
        <f t="array" ref="C26">IFERROR(
  (
    _xlfn.XLOOKUP(1,
      (Master_data!$A:$A=$A26)*
      (Master_data!$D:$D=$B26),
      Master_data!$E:$E
    )
    /
    _xlfn.XLOOKUP(1,
      (Master_data!$A:$A=$A26)*
      (Master_data!$D:$D=2019),
      Master_data!$E:$E
    )
  )*100,
""
)</f>
        <v>60.299625468164798</v>
      </c>
      <c r="D26" s="3" cm="1">
        <f t="array" ref="D26">IFERROR(
  (
    _xlfn.XLOOKUP(1,
      (Master_data!$A:$A=$A26)*
      (Master_data!$D:$D=$B26),
      Master_data!$F:$F
    )
    /
    _xlfn.XLOOKUP(1,
      (Master_data!$A:$A=$A26)*
      (Master_data!$D:$D=2019),
      Master_data!$F:$F
    )
  )*100,
""
)</f>
        <v>33.447098976109217</v>
      </c>
      <c r="E26" s="3" cm="1">
        <f t="array" ref="E26">IFERROR(
  (
    _xlfn.XLOOKUP(1,
      (Master_data!$A:$A=$A26)*
      (Master_data!$D:$D=$B26),
      Master_data!$H:$H
    )
    /
    _xlfn.XLOOKUP(1,
      (Master_data!$A:$A=$A26)*
      (Master_data!$D:$D=2019),
      Master_data!$H:$H
    )
  )*100,
""
)</f>
        <v>97.037037037037038</v>
      </c>
      <c r="F26" s="3">
        <f t="shared" si="0"/>
        <v>46.873362222137004</v>
      </c>
    </row>
    <row r="27" spans="1:6" x14ac:dyDescent="0.2">
      <c r="A27" t="s">
        <v>39</v>
      </c>
      <c r="B27">
        <v>2023</v>
      </c>
      <c r="C27" s="3" cm="1">
        <f t="array" ref="C27">IFERROR(
  (
    _xlfn.XLOOKUP(1,
      (Master_data!$A:$A=$A27)*
      (Master_data!$D:$D=$B27),
      Master_data!$E:$E
    )
    /
    _xlfn.XLOOKUP(1,
      (Master_data!$A:$A=$A27)*
      (Master_data!$D:$D=2019),
      Master_data!$E:$E
    )
  )*100,
""
)</f>
        <v>109.73782771535581</v>
      </c>
      <c r="D27" s="3" cm="1">
        <f t="array" ref="D27">IFERROR(
  (
    _xlfn.XLOOKUP(1,
      (Master_data!$A:$A=$A27)*
      (Master_data!$D:$D=$B27),
      Master_data!$F:$F
    )
    /
    _xlfn.XLOOKUP(1,
      (Master_data!$A:$A=$A27)*
      (Master_data!$D:$D=2019),
      Master_data!$F:$F
    )
  )*100,
""
)</f>
        <v>74.402730375426614</v>
      </c>
      <c r="E27" s="3" cm="1">
        <f t="array" ref="E27">IFERROR(
  (
    _xlfn.XLOOKUP(1,
      (Master_data!$A:$A=$A27)*
      (Master_data!$D:$D=$B27),
      Master_data!$H:$H
    )
    /
    _xlfn.XLOOKUP(1,
      (Master_data!$A:$A=$A27)*
      (Master_data!$D:$D=2019),
      Master_data!$H:$H
    )
  )*100,
""
)</f>
        <v>96.296296296296291</v>
      </c>
      <c r="F27" s="3">
        <f t="shared" si="0"/>
        <v>92.070279045391203</v>
      </c>
    </row>
    <row r="28" spans="1:6" x14ac:dyDescent="0.2">
      <c r="A28" t="s">
        <v>39</v>
      </c>
      <c r="B28">
        <v>2024</v>
      </c>
      <c r="C28" s="3" cm="1">
        <f t="array" ref="C28">IFERROR(
  (
    _xlfn.XLOOKUP(1,
      (Master_data!$A:$A=$A28)*
      (Master_data!$D:$D=$B28),
      Master_data!$E:$E
    )
    /
    _xlfn.XLOOKUP(1,
      (Master_data!$A:$A=$A28)*
      (Master_data!$D:$D=2019),
      Master_data!$E:$E
    )
  )*100,
""
)</f>
        <v>123.59550561797754</v>
      </c>
      <c r="D28" s="3" cm="1">
        <f t="array" ref="D28">IFERROR(
  (
    _xlfn.XLOOKUP(1,
      (Master_data!$A:$A=$A28)*
      (Master_data!$D:$D=$B28),
      Master_data!$F:$F
    )
    /
    _xlfn.XLOOKUP(1,
      (Master_data!$A:$A=$A28)*
      (Master_data!$D:$D=2019),
      Master_data!$F:$F
    )
  )*100,
""
)</f>
        <v>88.566552901023883</v>
      </c>
      <c r="E28" s="3" cm="1">
        <f t="array" ref="E28">IFERROR(
  (
    _xlfn.XLOOKUP(1,
      (Master_data!$A:$A=$A28)*
      (Master_data!$D:$D=$B28),
      Master_data!$H:$H
    )
    /
    _xlfn.XLOOKUP(1,
      (Master_data!$A:$A=$A28)*
      (Master_data!$D:$D=2019),
      Master_data!$H:$H
    )
  )*100,
""
)</f>
        <v>96.296296296296291</v>
      </c>
      <c r="F28" s="3">
        <f t="shared" si="0"/>
        <v>106.08102925950071</v>
      </c>
    </row>
    <row r="29" spans="1:6" x14ac:dyDescent="0.2">
      <c r="A29" t="s">
        <v>39</v>
      </c>
      <c r="B29">
        <v>2025</v>
      </c>
      <c r="C29" s="3" cm="1">
        <f t="array" ref="C29">IFERROR(
  (
    _xlfn.XLOOKUP(1,
      (Master_data!$A:$A=$A29)*
      (Master_data!$D:$D=$B29),
      Master_data!$E:$E
    )
    /
    _xlfn.XLOOKUP(1,
      (Master_data!$A:$A=$A29)*
      (Master_data!$D:$D=2019),
      Master_data!$E:$E
    )
  )*100,
""
)</f>
        <v>130.7116104868914</v>
      </c>
      <c r="D29" s="3" cm="1">
        <f t="array" ref="D29">IFERROR(
  (
    _xlfn.XLOOKUP(1,
      (Master_data!$A:$A=$A29)*
      (Master_data!$D:$D=$B29),
      Master_data!$F:$F
    )
    /
    _xlfn.XLOOKUP(1,
      (Master_data!$A:$A=$A29)*
      (Master_data!$D:$D=2019),
      Master_data!$F:$F
    )
  )*100,
""
)</f>
        <v>91.638225255972699</v>
      </c>
      <c r="E29" s="3" cm="1">
        <f t="array" ref="E29">IFERROR(
  (
    _xlfn.XLOOKUP(1,
      (Master_data!$A:$A=$A29)*
      (Master_data!$D:$D=$B29),
      Master_data!$H:$H
    )
    /
    _xlfn.XLOOKUP(1,
      (Master_data!$A:$A=$A29)*
      (Master_data!$D:$D=2019),
      Master_data!$H:$H
    )
  )*100,
""
)</f>
        <v>96.296296296296291</v>
      </c>
      <c r="F29" s="3">
        <f t="shared" si="0"/>
        <v>111.17491787143206</v>
      </c>
    </row>
    <row r="30" spans="1:6" x14ac:dyDescent="0.2">
      <c r="A30" t="s">
        <v>41</v>
      </c>
      <c r="B30">
        <v>2019</v>
      </c>
      <c r="C30" s="3" cm="1">
        <f t="array" ref="C30">IFERROR(
  (
    _xlfn.XLOOKUP(1,
      (Master_data!$A:$A=$A30)*
      (Master_data!$D:$D=$B30),
      Master_data!$E:$E
    )
    /
    _xlfn.XLOOKUP(1,
      (Master_data!$A:$A=$A30)*
      (Master_data!$D:$D=2019),
      Master_data!$E:$E
    )
  )*100,
""
)</f>
        <v>100</v>
      </c>
      <c r="D30" s="3" cm="1">
        <f t="array" ref="D30">IFERROR(
  (
    _xlfn.XLOOKUP(1,
      (Master_data!$A:$A=$A30)*
      (Master_data!$D:$D=$B30),
      Master_data!$F:$F
    )
    /
    _xlfn.XLOOKUP(1,
      (Master_data!$A:$A=$A30)*
      (Master_data!$D:$D=2019),
      Master_data!$F:$F
    )
  )*100,
""
)</f>
        <v>100</v>
      </c>
      <c r="E30" s="3" cm="1">
        <f t="array" ref="E30">IFERROR(
  (
    _xlfn.XLOOKUP(1,
      (Master_data!$A:$A=$A30)*
      (Master_data!$D:$D=$B30),
      Master_data!$H:$H
    )
    /
    _xlfn.XLOOKUP(1,
      (Master_data!$A:$A=$A30)*
      (Master_data!$D:$D=2019),
      Master_data!$H:$H
    )
  )*100,
""
)</f>
        <v>100</v>
      </c>
      <c r="F30" s="3">
        <f t="shared" si="0"/>
        <v>100</v>
      </c>
    </row>
    <row r="31" spans="1:6" x14ac:dyDescent="0.2">
      <c r="A31" t="s">
        <v>41</v>
      </c>
      <c r="B31">
        <v>2020</v>
      </c>
      <c r="C31" s="3" cm="1">
        <f t="array" ref="C31">IFERROR(
  (
    _xlfn.XLOOKUP(1,
      (Master_data!$A:$A=$A31)*
      (Master_data!$D:$D=$B31),
      Master_data!$E:$E
    )
    /
    _xlfn.XLOOKUP(1,
      (Master_data!$A:$A=$A31)*
      (Master_data!$D:$D=2019),
      Master_data!$E:$E
    )
  )*100,
""
)</f>
        <v>106.06060606060606</v>
      </c>
      <c r="D31" s="3" cm="1">
        <f t="array" ref="D31">IFERROR(
  (
    _xlfn.XLOOKUP(1,
      (Master_data!$A:$A=$A31)*
      (Master_data!$D:$D=$B31),
      Master_data!$F:$F
    )
    /
    _xlfn.XLOOKUP(1,
      (Master_data!$A:$A=$A31)*
      (Master_data!$D:$D=2019),
      Master_data!$F:$F
    )
  )*100,
""
)</f>
        <v>110.20408163265307</v>
      </c>
      <c r="E31" s="3" cm="1">
        <f t="array" ref="E31">IFERROR(
  (
    _xlfn.XLOOKUP(1,
      (Master_data!$A:$A=$A31)*
      (Master_data!$D:$D=$B31),
      Master_data!$H:$H
    )
    /
    _xlfn.XLOOKUP(1,
      (Master_data!$A:$A=$A31)*
      (Master_data!$D:$D=2019),
      Master_data!$H:$H
    )
  )*100,
""
)</f>
        <v>100</v>
      </c>
      <c r="F31" s="3">
        <f t="shared" si="0"/>
        <v>108.13234384662957</v>
      </c>
    </row>
    <row r="32" spans="1:6" x14ac:dyDescent="0.2">
      <c r="A32" t="s">
        <v>41</v>
      </c>
      <c r="B32">
        <v>2021</v>
      </c>
      <c r="C32" s="3" cm="1">
        <f t="array" ref="C32">IFERROR(
  (
    _xlfn.XLOOKUP(1,
      (Master_data!$A:$A=$A32)*
      (Master_data!$D:$D=$B32),
      Master_data!$E:$E
    )
    /
    _xlfn.XLOOKUP(1,
      (Master_data!$A:$A=$A32)*
      (Master_data!$D:$D=2019),
      Master_data!$E:$E
    )
  )*100,
""
)</f>
        <v>61.363636363636367</v>
      </c>
      <c r="D32" s="3" cm="1">
        <f t="array" ref="D32">IFERROR(
  (
    _xlfn.XLOOKUP(1,
      (Master_data!$A:$A=$A32)*
      (Master_data!$D:$D=$B32),
      Master_data!$F:$F
    )
    /
    _xlfn.XLOOKUP(1,
      (Master_data!$A:$A=$A32)*
      (Master_data!$D:$D=2019),
      Master_data!$F:$F
    )
  )*100,
""
)</f>
        <v>19.727891156462583</v>
      </c>
      <c r="E32" s="3" cm="1">
        <f t="array" ref="E32">IFERROR(
  (
    _xlfn.XLOOKUP(1,
      (Master_data!$A:$A=$A32)*
      (Master_data!$D:$D=$B32),
      Master_data!$H:$H
    )
    /
    _xlfn.XLOOKUP(1,
      (Master_data!$A:$A=$A32)*
      (Master_data!$D:$D=2019),
      Master_data!$H:$H
    )
  )*100,
""
)</f>
        <v>100</v>
      </c>
      <c r="F32" s="3">
        <f t="shared" si="0"/>
        <v>40.545763760049475</v>
      </c>
    </row>
    <row r="33" spans="1:6" x14ac:dyDescent="0.2">
      <c r="A33" t="s">
        <v>41</v>
      </c>
      <c r="B33">
        <v>2022</v>
      </c>
      <c r="C33" s="3" cm="1">
        <f t="array" ref="C33">IFERROR(
  (
    _xlfn.XLOOKUP(1,
      (Master_data!$A:$A=$A33)*
      (Master_data!$D:$D=$B33),
      Master_data!$E:$E
    )
    /
    _xlfn.XLOOKUP(1,
      (Master_data!$A:$A=$A33)*
      (Master_data!$D:$D=2019),
      Master_data!$E:$E
    )
  )*100,
""
)</f>
        <v>109.09090909090911</v>
      </c>
      <c r="D33" s="3" cm="1">
        <f t="array" ref="D33">IFERROR(
  (
    _xlfn.XLOOKUP(1,
      (Master_data!$A:$A=$A33)*
      (Master_data!$D:$D=$B33),
      Master_data!$F:$F
    )
    /
    _xlfn.XLOOKUP(1,
      (Master_data!$A:$A=$A33)*
      (Master_data!$D:$D=2019),
      Master_data!$F:$F
    )
  )*100,
""
)</f>
        <v>62.925170068027214</v>
      </c>
      <c r="E33" s="3" cm="1">
        <f t="array" ref="E33">IFERROR(
  (
    _xlfn.XLOOKUP(1,
      (Master_data!$A:$A=$A33)*
      (Master_data!$D:$D=$B33),
      Master_data!$H:$H
    )
    /
    _xlfn.XLOOKUP(1,
      (Master_data!$A:$A=$A33)*
      (Master_data!$D:$D=2019),
      Master_data!$H:$H
    )
  )*100,
""
)</f>
        <v>102.8</v>
      </c>
      <c r="F33" s="3">
        <f t="shared" si="0"/>
        <v>86.008039579468161</v>
      </c>
    </row>
    <row r="34" spans="1:6" x14ac:dyDescent="0.2">
      <c r="A34" t="s">
        <v>41</v>
      </c>
      <c r="B34">
        <v>2023</v>
      </c>
      <c r="C34" s="3" cm="1">
        <f t="array" ref="C34">IFERROR(
  (
    _xlfn.XLOOKUP(1,
      (Master_data!$A:$A=$A34)*
      (Master_data!$D:$D=$B34),
      Master_data!$E:$E
    )
    /
    _xlfn.XLOOKUP(1,
      (Master_data!$A:$A=$A34)*
      (Master_data!$D:$D=2019),
      Master_data!$E:$E
    )
  )*100,
""
)</f>
        <v>159.09090909090909</v>
      </c>
      <c r="D34" s="3" cm="1">
        <f t="array" ref="D34">IFERROR(
  (
    _xlfn.XLOOKUP(1,
      (Master_data!$A:$A=$A34)*
      (Master_data!$D:$D=$B34),
      Master_data!$F:$F
    )
    /
    _xlfn.XLOOKUP(1,
      (Master_data!$A:$A=$A34)*
      (Master_data!$D:$D=2019),
      Master_data!$F:$F
    )
  )*100,
""
)</f>
        <v>107.82312925170068</v>
      </c>
      <c r="E34" s="3" cm="1">
        <f t="array" ref="E34">IFERROR(
  (
    _xlfn.XLOOKUP(1,
      (Master_data!$A:$A=$A34)*
      (Master_data!$D:$D=$B34),
      Master_data!$H:$H
    )
    /
    _xlfn.XLOOKUP(1,
      (Master_data!$A:$A=$A34)*
      (Master_data!$D:$D=2019),
      Master_data!$H:$H
    )
  )*100,
""
)</f>
        <v>106</v>
      </c>
      <c r="F34" s="3">
        <f t="shared" si="0"/>
        <v>133.45701917130489</v>
      </c>
    </row>
    <row r="35" spans="1:6" x14ac:dyDescent="0.2">
      <c r="A35" t="s">
        <v>41</v>
      </c>
      <c r="B35">
        <v>2024</v>
      </c>
      <c r="C35" s="3" cm="1">
        <f t="array" ref="C35">IFERROR(
  (
    _xlfn.XLOOKUP(1,
      (Master_data!$A:$A=$A35)*
      (Master_data!$D:$D=$B35),
      Master_data!$E:$E
    )
    /
    _xlfn.XLOOKUP(1,
      (Master_data!$A:$A=$A35)*
      (Master_data!$D:$D=2019),
      Master_data!$E:$E
    )
  )*100,
""
)</f>
        <v>168.18181818181819</v>
      </c>
      <c r="D35" s="3" cm="1">
        <f t="array" ref="D35">IFERROR(
  (
    _xlfn.XLOOKUP(1,
      (Master_data!$A:$A=$A35)*
      (Master_data!$D:$D=$B35),
      Master_data!$F:$F
    )
    /
    _xlfn.XLOOKUP(1,
      (Master_data!$A:$A=$A35)*
      (Master_data!$D:$D=2019),
      Master_data!$F:$F
    )
  )*100,
""
)</f>
        <v>136.05442176870747</v>
      </c>
      <c r="E35" s="3" cm="1">
        <f t="array" ref="E35">IFERROR(
  (
    _xlfn.XLOOKUP(1,
      (Master_data!$A:$A=$A35)*
      (Master_data!$D:$D=$B35),
      Master_data!$H:$H
    )
    /
    _xlfn.XLOOKUP(1,
      (Master_data!$A:$A=$A35)*
      (Master_data!$D:$D=2019),
      Master_data!$H:$H
    )
  )*100,
""
)</f>
        <v>113.6</v>
      </c>
      <c r="F35" s="3">
        <f t="shared" si="0"/>
        <v>152.11811997526283</v>
      </c>
    </row>
    <row r="36" spans="1:6" x14ac:dyDescent="0.2">
      <c r="A36" t="s">
        <v>41</v>
      </c>
      <c r="B36">
        <v>2025</v>
      </c>
      <c r="C36" s="3" cm="1">
        <f t="array" ref="C36">IFERROR(
  (
    _xlfn.XLOOKUP(1,
      (Master_data!$A:$A=$A36)*
      (Master_data!$D:$D=$B36),
      Master_data!$E:$E
    )
    /
    _xlfn.XLOOKUP(1,
      (Master_data!$A:$A=$A36)*
      (Master_data!$D:$D=2019),
      Master_data!$E:$E
    )
  )*100,
""
)</f>
        <v>178.78787878787881</v>
      </c>
      <c r="D36" s="3" cm="1">
        <f t="array" ref="D36">IFERROR(
  (
    _xlfn.XLOOKUP(1,
      (Master_data!$A:$A=$A36)*
      (Master_data!$D:$D=$B36),
      Master_data!$F:$F
    )
    /
    _xlfn.XLOOKUP(1,
      (Master_data!$A:$A=$A36)*
      (Master_data!$D:$D=2019),
      Master_data!$F:$F
    )
  )*100,
""
)</f>
        <v>146.25850340136054</v>
      </c>
      <c r="E36" s="3" cm="1">
        <f t="array" ref="E36">IFERROR(
  (
    _xlfn.XLOOKUP(1,
      (Master_data!$A:$A=$A36)*
      (Master_data!$D:$D=$B36),
      Master_data!$H:$H
    )
    /
    _xlfn.XLOOKUP(1,
      (Master_data!$A:$A=$A36)*
      (Master_data!$D:$D=2019),
      Master_data!$H:$H
    )
  )*100,
""
)</f>
        <v>106.80000000000001</v>
      </c>
      <c r="F36" s="3">
        <f t="shared" si="0"/>
        <v>162.52319109461968</v>
      </c>
    </row>
    <row r="37" spans="1:6" x14ac:dyDescent="0.2">
      <c r="A37" t="s">
        <v>54</v>
      </c>
      <c r="B37">
        <v>2019</v>
      </c>
      <c r="C37" s="3" cm="1">
        <f t="array" ref="C37">IFERROR(
  (
    _xlfn.XLOOKUP(1,
      (Master_data!$A:$A=$A37)*
      (Master_data!$D:$D=$B37),
      Master_data!$E:$E
    )
    /
    _xlfn.XLOOKUP(1,
      (Master_data!$A:$A=$A37)*
      (Master_data!$D:$D=2019),
      Master_data!$E:$E
    )
  )*100,
""
)</f>
        <v>100</v>
      </c>
      <c r="D37" s="3" cm="1">
        <f t="array" ref="D37">IFERROR(
  (
    _xlfn.XLOOKUP(1,
      (Master_data!$A:$A=$A37)*
      (Master_data!$D:$D=$B37),
      Master_data!$F:$F
    )
    /
    _xlfn.XLOOKUP(1,
      (Master_data!$A:$A=$A37)*
      (Master_data!$D:$D=2019),
      Master_data!$F:$F
    )
  )*100,
""
)</f>
        <v>100</v>
      </c>
      <c r="E37" s="3" cm="1">
        <f t="array" ref="E37">IFERROR(
  (
    _xlfn.XLOOKUP(1,
      (Master_data!$A:$A=$A37)*
      (Master_data!$D:$D=$B37),
      Master_data!$H:$H
    )
    /
    _xlfn.XLOOKUP(1,
      (Master_data!$A:$A=$A37)*
      (Master_data!$D:$D=2019),
      Master_data!$H:$H
    )
  )*100,
""
)</f>
        <v>100</v>
      </c>
      <c r="F37" s="3">
        <f t="shared" si="0"/>
        <v>100</v>
      </c>
    </row>
    <row r="38" spans="1:6" x14ac:dyDescent="0.2">
      <c r="A38" t="s">
        <v>54</v>
      </c>
      <c r="B38">
        <v>2020</v>
      </c>
      <c r="C38" s="3" cm="1">
        <f t="array" ref="C38">IFERROR(
  (
    _xlfn.XLOOKUP(1,
      (Master_data!$A:$A=$A38)*
      (Master_data!$D:$D=$B38),
      Master_data!$E:$E
    )
    /
    _xlfn.XLOOKUP(1,
      (Master_data!$A:$A=$A38)*
      (Master_data!$D:$D=2019),
      Master_data!$E:$E
    )
  )*100,
""
)</f>
        <v>46.428571428571438</v>
      </c>
      <c r="D38" s="3" cm="1">
        <f t="array" ref="D38">IFERROR(
  (
    _xlfn.XLOOKUP(1,
      (Master_data!$A:$A=$A38)*
      (Master_data!$D:$D=$B38),
      Master_data!$F:$F
    )
    /
    _xlfn.XLOOKUP(1,
      (Master_data!$A:$A=$A38)*
      (Master_data!$D:$D=2019),
      Master_data!$F:$F
    )
  )*100,
""
)</f>
        <v>24.000000000000004</v>
      </c>
      <c r="E38" s="3" cm="1">
        <f t="array" ref="E38">IFERROR(
  (
    _xlfn.XLOOKUP(1,
      (Master_data!$A:$A=$A38)*
      (Master_data!$D:$D=$B38),
      Master_data!$H:$H
    )
    /
    _xlfn.XLOOKUP(1,
      (Master_data!$A:$A=$A38)*
      (Master_data!$D:$D=2019),
      Master_data!$H:$H
    )
  )*100,
""
)</f>
        <v>101.98019801980197</v>
      </c>
      <c r="F38" s="3">
        <f t="shared" si="0"/>
        <v>35.214285714285722</v>
      </c>
    </row>
    <row r="39" spans="1:6" x14ac:dyDescent="0.2">
      <c r="A39" t="s">
        <v>54</v>
      </c>
      <c r="B39">
        <v>2021</v>
      </c>
      <c r="C39" s="3" cm="1">
        <f t="array" ref="C39">IFERROR(
  (
    _xlfn.XLOOKUP(1,
      (Master_data!$A:$A=$A39)*
      (Master_data!$D:$D=$B39),
      Master_data!$E:$E
    )
    /
    _xlfn.XLOOKUP(1,
      (Master_data!$A:$A=$A39)*
      (Master_data!$D:$D=2019),
      Master_data!$E:$E
    )
  )*100,
""
)</f>
        <v>55.357142857142861</v>
      </c>
      <c r="D39" s="3" cm="1">
        <f t="array" ref="D39">IFERROR(
  (
    _xlfn.XLOOKUP(1,
      (Master_data!$A:$A=$A39)*
      (Master_data!$D:$D=$B39),
      Master_data!$F:$F
    )
    /
    _xlfn.XLOOKUP(1,
      (Master_data!$A:$A=$A39)*
      (Master_data!$D:$D=2019),
      Master_data!$F:$F
    )
  )*100,
""
)</f>
        <v>20</v>
      </c>
      <c r="E39" s="3" cm="1">
        <f t="array" ref="E39">IFERROR(
  (
    _xlfn.XLOOKUP(1,
      (Master_data!$A:$A=$A39)*
      (Master_data!$D:$D=$B39),
      Master_data!$H:$H
    )
    /
    _xlfn.XLOOKUP(1,
      (Master_data!$A:$A=$A39)*
      (Master_data!$D:$D=2019),
      Master_data!$H:$H
    )
  )*100,
""
)</f>
        <v>93.069306930693074</v>
      </c>
      <c r="F39" s="3">
        <f t="shared" si="0"/>
        <v>37.678571428571431</v>
      </c>
    </row>
    <row r="40" spans="1:6" x14ac:dyDescent="0.2">
      <c r="A40" t="s">
        <v>54</v>
      </c>
      <c r="B40">
        <v>2022</v>
      </c>
      <c r="C40" s="3" cm="1">
        <f t="array" ref="C40">IFERROR(
  (
    _xlfn.XLOOKUP(1,
      (Master_data!$A:$A=$A40)*
      (Master_data!$D:$D=$B40),
      Master_data!$E:$E
    )
    /
    _xlfn.XLOOKUP(1,
      (Master_data!$A:$A=$A40)*
      (Master_data!$D:$D=2019),
      Master_data!$E:$E
    )
  )*100,
""
)</f>
        <v>89.285714285714292</v>
      </c>
      <c r="D40" s="3" cm="1">
        <f t="array" ref="D40">IFERROR(
  (
    _xlfn.XLOOKUP(1,
      (Master_data!$A:$A=$A40)*
      (Master_data!$D:$D=$B40),
      Master_data!$F:$F
    )
    /
    _xlfn.XLOOKUP(1,
      (Master_data!$A:$A=$A40)*
      (Master_data!$D:$D=2019),
      Master_data!$F:$F
    )
  )*100,
""
)</f>
        <v>57.142857142857139</v>
      </c>
      <c r="E40" s="3" cm="1">
        <f t="array" ref="E40">IFERROR(
  (
    _xlfn.XLOOKUP(1,
      (Master_data!$A:$A=$A40)*
      (Master_data!$D:$D=$B40),
      Master_data!$H:$H
    )
    /
    _xlfn.XLOOKUP(1,
      (Master_data!$A:$A=$A40)*
      (Master_data!$D:$D=2019),
      Master_data!$H:$H
    )
  )*100,
""
)</f>
        <v>70.297029702970292</v>
      </c>
      <c r="F40" s="3">
        <f t="shared" si="0"/>
        <v>73.214285714285722</v>
      </c>
    </row>
    <row r="41" spans="1:6" x14ac:dyDescent="0.2">
      <c r="A41" t="s">
        <v>54</v>
      </c>
      <c r="B41">
        <v>2023</v>
      </c>
      <c r="C41" s="3" cm="1">
        <f t="array" ref="C41">IFERROR(
  (
    _xlfn.XLOOKUP(1,
      (Master_data!$A:$A=$A41)*
      (Master_data!$D:$D=$B41),
      Master_data!$E:$E
    )
    /
    _xlfn.XLOOKUP(1,
      (Master_data!$A:$A=$A41)*
      (Master_data!$D:$D=2019),
      Master_data!$E:$E
    )
  )*100,
""
)</f>
        <v>98.214285714285722</v>
      </c>
      <c r="D41" s="3" cm="1">
        <f t="array" ref="D41">IFERROR(
  (
    _xlfn.XLOOKUP(1,
      (Master_data!$A:$A=$A41)*
      (Master_data!$D:$D=$B41),
      Master_data!$F:$F
    )
    /
    _xlfn.XLOOKUP(1,
      (Master_data!$A:$A=$A41)*
      (Master_data!$D:$D=2019),
      Master_data!$F:$F
    )
  )*100,
""
)</f>
        <v>80</v>
      </c>
      <c r="E41" s="3" cm="1">
        <f t="array" ref="E41">IFERROR(
  (
    _xlfn.XLOOKUP(1,
      (Master_data!$A:$A=$A41)*
      (Master_data!$D:$D=$B41),
      Master_data!$H:$H
    )
    /
    _xlfn.XLOOKUP(1,
      (Master_data!$A:$A=$A41)*
      (Master_data!$D:$D=2019),
      Master_data!$H:$H
    )
  )*100,
""
)</f>
        <v>84.158415841584159</v>
      </c>
      <c r="F41" s="3">
        <f t="shared" si="0"/>
        <v>89.107142857142861</v>
      </c>
    </row>
    <row r="42" spans="1:6" x14ac:dyDescent="0.2">
      <c r="A42" t="s">
        <v>54</v>
      </c>
      <c r="B42">
        <v>2024</v>
      </c>
      <c r="C42" s="3" cm="1">
        <f t="array" ref="C42">IFERROR(
  (
    _xlfn.XLOOKUP(1,
      (Master_data!$A:$A=$A42)*
      (Master_data!$D:$D=$B42),
      Master_data!$E:$E
    )
    /
    _xlfn.XLOOKUP(1,
      (Master_data!$A:$A=$A42)*
      (Master_data!$D:$D=2019),
      Master_data!$E:$E
    )
  )*100,
""
)</f>
        <v>123.21428571428572</v>
      </c>
      <c r="D42" s="3" cm="1">
        <f t="array" ref="D42">IFERROR(
  (
    _xlfn.XLOOKUP(1,
      (Master_data!$A:$A=$A42)*
      (Master_data!$D:$D=$B42),
      Master_data!$F:$F
    )
    /
    _xlfn.XLOOKUP(1,
      (Master_data!$A:$A=$A42)*
      (Master_data!$D:$D=2019),
      Master_data!$F:$F
    )
  )*100,
""
)</f>
        <v>105.71428571428572</v>
      </c>
      <c r="E42" s="3" cm="1">
        <f t="array" ref="E42">IFERROR(
  (
    _xlfn.XLOOKUP(1,
      (Master_data!$A:$A=$A42)*
      (Master_data!$D:$D=$B42),
      Master_data!$H:$H
    )
    /
    _xlfn.XLOOKUP(1,
      (Master_data!$A:$A=$A42)*
      (Master_data!$D:$D=2019),
      Master_data!$H:$H
    )
  )*100,
""
)</f>
        <v>96.039603960396036</v>
      </c>
      <c r="F42" s="3">
        <f t="shared" si="0"/>
        <v>114.46428571428572</v>
      </c>
    </row>
    <row r="43" spans="1:6" x14ac:dyDescent="0.2">
      <c r="A43" t="s">
        <v>54</v>
      </c>
      <c r="B43">
        <v>2025</v>
      </c>
      <c r="C43" s="3" cm="1">
        <f t="array" ref="C43">IFERROR(
  (
    _xlfn.XLOOKUP(1,
      (Master_data!$A:$A=$A43)*
      (Master_data!$D:$D=$B43),
      Master_data!$E:$E
    )
    /
    _xlfn.XLOOKUP(1,
      (Master_data!$A:$A=$A43)*
      (Master_data!$D:$D=2019),
      Master_data!$E:$E
    )
  )*100,
""
)</f>
        <v>139.28571428571431</v>
      </c>
      <c r="D43" s="3" cm="1">
        <f t="array" ref="D43">IFERROR(
  (
    _xlfn.XLOOKUP(1,
      (Master_data!$A:$A=$A43)*
      (Master_data!$D:$D=$B43),
      Master_data!$F:$F
    )
    /
    _xlfn.XLOOKUP(1,
      (Master_data!$A:$A=$A43)*
      (Master_data!$D:$D=2019),
      Master_data!$F:$F
    )
  )*100,
""
)</f>
        <v>125.71428571428571</v>
      </c>
      <c r="E43" s="3" cm="1">
        <f t="array" ref="E43">IFERROR(
  (
    _xlfn.XLOOKUP(1,
      (Master_data!$A:$A=$A43)*
      (Master_data!$D:$D=$B43),
      Master_data!$H:$H
    )
    /
    _xlfn.XLOOKUP(1,
      (Master_data!$A:$A=$A43)*
      (Master_data!$D:$D=2019),
      Master_data!$H:$H
    )
  )*100,
""
)</f>
        <v>115.84158415841583</v>
      </c>
      <c r="F43" s="3">
        <f t="shared" si="0"/>
        <v>132.5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Master_data</vt:lpstr>
      <vt:lpstr>Recovery Index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Abhinandh O</dc:creator>
  <cp:lastModifiedBy>Abhinandh O</cp:lastModifiedBy>
  <dcterms:created xsi:type="dcterms:W3CDTF">2026-01-11T14:22:48Z</dcterms:created>
  <dcterms:modified xsi:type="dcterms:W3CDTF">2026-01-12T11:58:35Z</dcterms:modified>
</cp:coreProperties>
</file>